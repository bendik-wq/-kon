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endi\AppData\Local\Temp\"/>
    </mc:Choice>
  </mc:AlternateContent>
  <xr:revisionPtr revIDLastSave="0" documentId="13_ncr:1_{58D1786F-E2A1-4408-9B2D-5A4AD21A98B5}" xr6:coauthVersionLast="47" xr6:coauthVersionMax="47" xr10:uidLastSave="{00000000-0000-0000-0000-000000000000}"/>
  <bookViews>
    <workbookView xWindow="1851" yWindow="1851" windowWidth="22115" windowHeight="8400" xr2:uid="{00000000-000D-0000-FFFF-FFFF00000000}"/>
  </bookViews>
  <sheets>
    <sheet name="Oversikt" sheetId="1" r:id="rId1"/>
    <sheet name="1 Kostnadsbegreper" sheetId="2" r:id="rId2"/>
    <sheet name="2 Kostnadsforløp" sheetId="3" r:id="rId3"/>
    <sheet name="3 Kalkulasjon" sheetId="4" r:id="rId4"/>
    <sheet name="4 KVR-analyse" sheetId="5" r:id="rId5"/>
    <sheet name="5 Produktvalg" sheetId="6" r:id="rId6"/>
    <sheet name="6 Avvik" sheetId="7" r:id="rId7"/>
    <sheet name="7 ABC"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8" l="1"/>
  <c r="B25" i="8"/>
  <c r="C17" i="8"/>
  <c r="B17" i="8"/>
  <c r="C14" i="8"/>
  <c r="B14" i="8"/>
  <c r="B56" i="7"/>
  <c r="B52" i="7"/>
  <c r="C52" i="7" s="1"/>
  <c r="B48" i="7"/>
  <c r="C48" i="7" s="1"/>
  <c r="B43" i="7"/>
  <c r="B37" i="7"/>
  <c r="B38" i="7" s="1"/>
  <c r="B36" i="7"/>
  <c r="B35" i="7"/>
  <c r="B15" i="7"/>
  <c r="B14" i="7"/>
  <c r="B13" i="7"/>
  <c r="C13" i="7" s="1"/>
  <c r="D20" i="6"/>
  <c r="C20" i="6"/>
  <c r="B20" i="6"/>
  <c r="D19" i="6"/>
  <c r="C19" i="6"/>
  <c r="B19" i="6"/>
  <c r="D16" i="6"/>
  <c r="D17" i="6" s="1"/>
  <c r="C16" i="6"/>
  <c r="C17" i="6" s="1"/>
  <c r="B16" i="6"/>
  <c r="B17" i="6" s="1"/>
  <c r="B18" i="6" s="1"/>
  <c r="D45" i="5"/>
  <c r="C45" i="5"/>
  <c r="B45" i="5"/>
  <c r="D44" i="5"/>
  <c r="C44" i="5"/>
  <c r="B44" i="5"/>
  <c r="D43" i="5"/>
  <c r="C43" i="5"/>
  <c r="B43" i="5"/>
  <c r="D42" i="5"/>
  <c r="C42" i="5"/>
  <c r="B42" i="5"/>
  <c r="D41" i="5"/>
  <c r="C41" i="5"/>
  <c r="B41" i="5"/>
  <c r="D40" i="5"/>
  <c r="C40" i="5"/>
  <c r="B40" i="5"/>
  <c r="D39" i="5"/>
  <c r="C39" i="5"/>
  <c r="B39" i="5"/>
  <c r="D38" i="5"/>
  <c r="C38" i="5"/>
  <c r="B38" i="5"/>
  <c r="D37" i="5"/>
  <c r="C37" i="5"/>
  <c r="B37" i="5"/>
  <c r="B31" i="5"/>
  <c r="B32" i="5" s="1"/>
  <c r="B33" i="5" s="1"/>
  <c r="B17" i="5"/>
  <c r="B13" i="5"/>
  <c r="B53" i="4"/>
  <c r="B37" i="4"/>
  <c r="B36" i="4"/>
  <c r="B15" i="4"/>
  <c r="B16" i="4" s="1"/>
  <c r="B14" i="4"/>
  <c r="B24" i="4" s="1"/>
  <c r="B39" i="4" s="1"/>
  <c r="B13" i="4"/>
  <c r="B23" i="4" s="1"/>
  <c r="B47" i="3"/>
  <c r="B45" i="3"/>
  <c r="B46" i="3" s="1"/>
  <c r="G26" i="3"/>
  <c r="H26" i="3" s="1"/>
  <c r="B26" i="3"/>
  <c r="D26" i="3" s="1"/>
  <c r="G25" i="3"/>
  <c r="H25" i="3" s="1"/>
  <c r="B25" i="3"/>
  <c r="D25" i="3" s="1"/>
  <c r="G24" i="3"/>
  <c r="H24" i="3" s="1"/>
  <c r="B24" i="3"/>
  <c r="D24" i="3" s="1"/>
  <c r="G23" i="3"/>
  <c r="H23" i="3" s="1"/>
  <c r="B23" i="3"/>
  <c r="D23" i="3" s="1"/>
  <c r="G22" i="3"/>
  <c r="H22" i="3" s="1"/>
  <c r="B22" i="3"/>
  <c r="D22" i="3" s="1"/>
  <c r="G21" i="3"/>
  <c r="H21" i="3" s="1"/>
  <c r="B21" i="3"/>
  <c r="D21" i="3" s="1"/>
  <c r="G20" i="3"/>
  <c r="H20" i="3" s="1"/>
  <c r="B20" i="3"/>
  <c r="D20" i="3" s="1"/>
  <c r="G19" i="3"/>
  <c r="H19" i="3" s="1"/>
  <c r="B19" i="3"/>
  <c r="D19" i="3" s="1"/>
  <c r="G18" i="3"/>
  <c r="H18" i="3" s="1"/>
  <c r="B18" i="3"/>
  <c r="D18" i="3" s="1"/>
  <c r="G17" i="3"/>
  <c r="H17" i="3" s="1"/>
  <c r="B17" i="3"/>
  <c r="D17" i="3" s="1"/>
  <c r="G16" i="3"/>
  <c r="H16" i="3" s="1"/>
  <c r="B16" i="3"/>
  <c r="D16" i="3" s="1"/>
  <c r="G15" i="3"/>
  <c r="H15" i="3" s="1"/>
  <c r="B15" i="3"/>
  <c r="D15" i="3" s="1"/>
  <c r="G14" i="3"/>
  <c r="H14" i="3" s="1"/>
  <c r="E14" i="3"/>
  <c r="B14" i="3"/>
  <c r="D14" i="3" s="1"/>
  <c r="D38" i="2"/>
  <c r="B35" i="2"/>
  <c r="B27" i="2"/>
  <c r="B26" i="2"/>
  <c r="B18" i="2"/>
  <c r="B16" i="2"/>
  <c r="B17" i="2" s="1"/>
  <c r="B19" i="2" s="1"/>
  <c r="B14" i="2"/>
  <c r="B15" i="2" s="1"/>
  <c r="B12" i="2"/>
  <c r="B13" i="2" s="1"/>
  <c r="B7" i="1"/>
  <c r="C18" i="6" l="1"/>
  <c r="D18" i="6"/>
  <c r="B57" i="7"/>
  <c r="C57" i="7" s="1"/>
  <c r="B53" i="7"/>
  <c r="C18" i="8"/>
  <c r="C16" i="8"/>
  <c r="C15" i="8"/>
  <c r="D24" i="8"/>
  <c r="D23" i="8"/>
  <c r="B18" i="8"/>
  <c r="B16" i="8"/>
  <c r="B15" i="8"/>
  <c r="B58" i="7"/>
  <c r="C58" i="7" s="1"/>
  <c r="C56" i="7"/>
  <c r="B54" i="7"/>
  <c r="C54" i="7" s="1"/>
  <c r="C53" i="7"/>
  <c r="C43" i="7"/>
  <c r="B50" i="7"/>
  <c r="C50" i="7" s="1"/>
  <c r="B49" i="7"/>
  <c r="C49" i="7" s="1"/>
  <c r="B46" i="7"/>
  <c r="B44" i="7"/>
  <c r="B17" i="7"/>
  <c r="C17" i="7" s="1"/>
  <c r="C15" i="7"/>
  <c r="B16" i="7"/>
  <c r="C14" i="7"/>
  <c r="B22" i="5"/>
  <c r="B15" i="5"/>
  <c r="B19" i="5" s="1"/>
  <c r="B14" i="5"/>
  <c r="B24" i="5"/>
  <c r="B25" i="4"/>
  <c r="B38" i="4"/>
  <c r="B40" i="4" s="1"/>
  <c r="I26" i="3"/>
  <c r="J26" i="3"/>
  <c r="E26" i="3"/>
  <c r="F26" i="3"/>
  <c r="I25" i="3"/>
  <c r="J25" i="3"/>
  <c r="E25" i="3"/>
  <c r="F25" i="3"/>
  <c r="I24" i="3"/>
  <c r="J24" i="3"/>
  <c r="E24" i="3"/>
  <c r="F24" i="3"/>
  <c r="I23" i="3"/>
  <c r="J23" i="3"/>
  <c r="E23" i="3"/>
  <c r="F23" i="3"/>
  <c r="I22" i="3"/>
  <c r="J22" i="3"/>
  <c r="E22" i="3"/>
  <c r="F22" i="3"/>
  <c r="I21" i="3"/>
  <c r="J21" i="3"/>
  <c r="E21" i="3"/>
  <c r="F21" i="3"/>
  <c r="I20" i="3"/>
  <c r="J20" i="3"/>
  <c r="E20" i="3"/>
  <c r="F20" i="3"/>
  <c r="I19" i="3"/>
  <c r="J19" i="3"/>
  <c r="E19" i="3"/>
  <c r="F19" i="3"/>
  <c r="I18" i="3"/>
  <c r="J18" i="3"/>
  <c r="E18" i="3"/>
  <c r="F18" i="3"/>
  <c r="I17" i="3"/>
  <c r="J17" i="3"/>
  <c r="E17" i="3"/>
  <c r="F17" i="3"/>
  <c r="I16" i="3"/>
  <c r="J16" i="3"/>
  <c r="E16" i="3"/>
  <c r="F16" i="3"/>
  <c r="J15" i="3"/>
  <c r="I15" i="3"/>
  <c r="F15" i="3"/>
  <c r="E15" i="3"/>
  <c r="B32" i="3"/>
  <c r="E38" i="2"/>
  <c r="F38" i="2"/>
  <c r="D39" i="2" s="1"/>
  <c r="C40" i="2"/>
  <c r="B41" i="2"/>
  <c r="C42" i="2"/>
  <c r="B39" i="2"/>
  <c r="B40" i="2"/>
  <c r="C41" i="2"/>
  <c r="B42" i="2"/>
  <c r="C38" i="2"/>
  <c r="C39" i="2"/>
  <c r="B38" i="2"/>
  <c r="B43" i="2" s="1"/>
  <c r="J14" i="3"/>
  <c r="B21" i="6" l="1"/>
  <c r="B22" i="6" s="1"/>
  <c r="B23" i="6" s="1"/>
  <c r="C21" i="6"/>
  <c r="C22" i="6" s="1"/>
  <c r="C23" i="6" s="1"/>
  <c r="B31" i="3"/>
  <c r="B33" i="3"/>
  <c r="B35" i="3" s="1"/>
  <c r="D21" i="6"/>
  <c r="D22" i="6" s="1"/>
  <c r="D23" i="6" s="1"/>
  <c r="B16" i="5"/>
  <c r="B21" i="5"/>
  <c r="B26" i="4"/>
  <c r="B41" i="4" s="1"/>
  <c r="B42" i="4" s="1"/>
  <c r="B27" i="4"/>
  <c r="E39" i="2"/>
  <c r="F39" i="2" s="1"/>
  <c r="D40" i="2" s="1"/>
  <c r="B34" i="3"/>
  <c r="D25" i="8"/>
  <c r="C44" i="7"/>
  <c r="B45" i="7"/>
  <c r="C45" i="7" s="1"/>
  <c r="B25" i="6" l="1"/>
  <c r="B29" i="6" s="1"/>
  <c r="B24" i="6"/>
  <c r="B30" i="6" s="1"/>
  <c r="C25" i="6"/>
  <c r="C24" i="6"/>
  <c r="D25" i="6"/>
  <c r="D24" i="6"/>
  <c r="B18" i="5"/>
  <c r="B20" i="5" s="1"/>
  <c r="B23" i="5"/>
  <c r="B28" i="4"/>
  <c r="B29" i="4"/>
  <c r="B43" i="4" s="1"/>
  <c r="E40" i="2"/>
  <c r="F40" i="2" s="1"/>
  <c r="D41" i="2" s="1"/>
  <c r="B36" i="3"/>
  <c r="B37" i="3"/>
  <c r="B44" i="4" l="1"/>
  <c r="B45" i="4"/>
  <c r="E41" i="2"/>
  <c r="F41" i="2" s="1"/>
  <c r="D42" i="2" s="1"/>
  <c r="E42" i="2" l="1"/>
  <c r="E43" i="2" l="1"/>
  <c r="F42" i="2"/>
</calcChain>
</file>

<file path=xl/sharedStrings.xml><?xml version="1.0" encoding="utf-8"?>
<sst xmlns="http://schemas.openxmlformats.org/spreadsheetml/2006/main" count="414" uniqueCount="353">
  <si>
    <t>HSM122 – Eksempeloppgaver</t>
  </si>
  <si>
    <t>Løste oppgaver for hvert tema i formelarket. Alle svar er Excel-formler, så du kan endre tallene og se svarene oppdatere seg.</t>
  </si>
  <si>
    <t>Fargekoder</t>
  </si>
  <si>
    <t>1 000</t>
  </si>
  <si>
    <t>Inndata – endre disse tallene (blå tekst, gul bakgrunn)</t>
  </si>
  <si>
    <t>Formel – beregnes automatisk (svart tekst)</t>
  </si>
  <si>
    <t>Svar</t>
  </si>
  <si>
    <t>Hovedsvar på oppgaven (grønn bakgrunn)</t>
  </si>
  <si>
    <t>Ark</t>
  </si>
  <si>
    <t>Innhold</t>
  </si>
  <si>
    <t>1 Kostnadsbegreper</t>
  </si>
  <si>
    <t>Avanse, bruttofortjeneste, DB/DG, utsalgspris, varekostnad, lineær- og saldoavskrivning</t>
  </si>
  <si>
    <t>2 Kostnadsforløp</t>
  </si>
  <si>
    <t>STK, SEK, DEK, KOM, STI, DEI, vinningsoptimal mengde, elastisitet</t>
  </si>
  <si>
    <t>3 Kalkulasjon</t>
  </si>
  <si>
    <t>Tilleggssatser, selvkostkalkyle, bidragskalkyle, håndverkskalkyle</t>
  </si>
  <si>
    <t>4 KVR-analyse</t>
  </si>
  <si>
    <t>Dekningspunkt, sikkerhetsmargin/-grad, målsatt salg, gjennomsnittlig DG, diagram</t>
  </si>
  <si>
    <t>5 Produktvalg</t>
  </si>
  <si>
    <t>DB per knapp faktor og optimal produksjonsplan</t>
  </si>
  <si>
    <t>6 Avvik</t>
  </si>
  <si>
    <t>Inntektsavvik, material-, lønns- og indirekte kostnadsavvik</t>
  </si>
  <si>
    <t>7 ABC</t>
  </si>
  <si>
    <t>Aktivitetssatser, uutnyttet kapasitet, avvik og produktkostnad</t>
  </si>
  <si>
    <t>Formlene og forkortelsene står i formelark.md og på nettsiden. Tallene i oppgavene er laget som eksempler.</t>
  </si>
  <si>
    <t>1  Kostnadsbegreper</t>
  </si>
  <si>
    <t>‹ Til oversikten</t>
  </si>
  <si>
    <t>Oppgave: En klesbutikk kjøper inn en jakke for 600 kr og selger den for 1 000 kr (alle beløp ekskl. mva). Variable kostnader per jakke (innkjøp, emballasje og provisjon) er 700 kr.
a) Finn avanse, avanseprosent, bruttofortjenesteprosent, dekningsbidrag og dekningsgrad.
b) Hvilken utsalgspris gir en bruttofortjeneste på 45 %?
c) Lageret var 120 000 kr 1.1 og 95 000 kr 31.12. Det ble kjøpt varer for 850 000 kr. Finn varekostnaden.
d) Butikken kjøper et kassesystem for 500 000 kr med restverdi 50 000 kr etter 5 år. Sett opp avskrivningsplan lineært og med 20 % saldoavskrivning.</t>
  </si>
  <si>
    <t>a–b) Avanse, bruttofortjeneste og dekningsbidrag</t>
  </si>
  <si>
    <t>Beskrivelse</t>
  </si>
  <si>
    <t>Verdi</t>
  </si>
  <si>
    <t>Formel (formelarket §1)</t>
  </si>
  <si>
    <t>Innkjøpspris (varekostnad) per jakke</t>
  </si>
  <si>
    <t>Salgspris per jakke</t>
  </si>
  <si>
    <t>Variable kostnader per jakke</t>
  </si>
  <si>
    <t>Ønsket bruttofortjenesteprosent</t>
  </si>
  <si>
    <t>Avanse i kr</t>
  </si>
  <si>
    <t>Avanse = salgspris − varekostnad</t>
  </si>
  <si>
    <t>Avanseprosent</t>
  </si>
  <si>
    <t>Avanse / varekostnad</t>
  </si>
  <si>
    <t>Bruttofortjeneste i kr</t>
  </si>
  <si>
    <t>Bruttofortjeneste = salgspris − varekostnad (samme kronebeløp som avanse)</t>
  </si>
  <si>
    <t>Bruttofortjenesteprosent</t>
  </si>
  <si>
    <t>Bruttofortjeneste / salgspris</t>
  </si>
  <si>
    <t>Dekningsbidrag per enhet</t>
  </si>
  <si>
    <t>Salgspris − variable kostnader per enhet</t>
  </si>
  <si>
    <t>Dekningsgrad</t>
  </si>
  <si>
    <t>DB / salgspris</t>
  </si>
  <si>
    <t>b) Utsalgspris som gir ønsket BF %</t>
  </si>
  <si>
    <t>Varekostnad / (1 − bruttofortjenesteprosent)</t>
  </si>
  <si>
    <t>Kontroll: salgspris fra DG</t>
  </si>
  <si>
    <t>Variable kostnader / (1 − DG) – skal bli lik salgsprisen</t>
  </si>
  <si>
    <t>c) Varekostnad</t>
  </si>
  <si>
    <t>Inngående beholdning (IB) 1.1</t>
  </si>
  <si>
    <t>Innkjøp i perioden</t>
  </si>
  <si>
    <t>Utgående beholdning (UB) 31.12</t>
  </si>
  <si>
    <t>Varekostnad</t>
  </si>
  <si>
    <t>IB + innkjøp − UB</t>
  </si>
  <si>
    <t>Varekostnad (annen måte)</t>
  </si>
  <si>
    <t>Varekjøp ± beholdningsendring (lagernedgang øker varekostnaden)</t>
  </si>
  <si>
    <t>d) Avskrivninger</t>
  </si>
  <si>
    <t>Anskaffelseskost</t>
  </si>
  <si>
    <t>Restverdi</t>
  </si>
  <si>
    <t>Levetid (år)</t>
  </si>
  <si>
    <t>Saldosats</t>
  </si>
  <si>
    <t>Lineær avskrivning per år</t>
  </si>
  <si>
    <t>(Anskaffelseskost − restverdi) / levetid</t>
  </si>
  <si>
    <t>År</t>
  </si>
  <si>
    <t>Lineær avskr.</t>
  </si>
  <si>
    <t>Bokført verdi lineær</t>
  </si>
  <si>
    <t>Saldo 1.1</t>
  </si>
  <si>
    <t>Saldoavskr.</t>
  </si>
  <si>
    <t>Saldo 31.12</t>
  </si>
  <si>
    <t>Sum</t>
  </si>
  <si>
    <t>Saldoavskrivning = saldo (bokført) per 1.1 × saldosats.  Bokført verdi = anskaffelseskost − påløpte avskrivninger.</t>
  </si>
  <si>
    <t>2–4  Kostnadsforløp, inntekt og markedstilpasning</t>
  </si>
  <si>
    <t>Oppgave: En bedrift har faste kostnader på 3 000 kr per periode. Variable totalkostnader (VTK) ved ulike mengder står i tabellen. Prisen bedriften oppnår avhenger av mengden: pris = 1 400 − 60 × mengde.
a) Fyll ut kostnadsforløpet: STK, SEK og DEK.   b) Finn kostnadsoptimal mengde (KOM).
c) Finn STI og DEI, og den vinningsoptimale mengden der overskuddet er størst (DEI ≈ DEK).
d) Prisen på et annet produkt settes ned fra 100 til 90 kr, og salget øker fra 1 000 til 1 200 enheter. Finn elastisitetskoeffisienten.</t>
  </si>
  <si>
    <t>Inndata</t>
  </si>
  <si>
    <t>Merknad</t>
  </si>
  <si>
    <t>Faste totale kostnader (FTK)</t>
  </si>
  <si>
    <t>Pris ved mengde 0 (a)</t>
  </si>
  <si>
    <t>Pris = a − b × mengde</t>
  </si>
  <si>
    <t>Prisnedgang per ekstra enhet (b)</t>
  </si>
  <si>
    <t>a–c) Kostnadsforløp og inntekter</t>
  </si>
  <si>
    <t>Mengde</t>
  </si>
  <si>
    <t>FTK</t>
  </si>
  <si>
    <t>VTK</t>
  </si>
  <si>
    <t>STK</t>
  </si>
  <si>
    <t>SEK</t>
  </si>
  <si>
    <t>DEK</t>
  </si>
  <si>
    <t>Pris</t>
  </si>
  <si>
    <t>STI</t>
  </si>
  <si>
    <t>DEI</t>
  </si>
  <si>
    <t>Overskudd</t>
  </si>
  <si>
    <t>STK = FTK + VTK · SEK = STK / mengde · DEK = endring i STK / endring i mengde · STI = pris × mengde · DEI = endring i STI / endring i mengde</t>
  </si>
  <si>
    <t>Formel (formelarket §2–4)</t>
  </si>
  <si>
    <t>b) Kostnadsoptimal mengde (KOM)</t>
  </si>
  <si>
    <t>Laveste SEK – der DEK = SEK</t>
  </si>
  <si>
    <t>Laveste SEK</t>
  </si>
  <si>
    <t>SEK ved KOM</t>
  </si>
  <si>
    <t>c) Vinningsoptimal mengde</t>
  </si>
  <si>
    <t>Største overskudd – der DEI = DEK</t>
  </si>
  <si>
    <t>Vinningsoptimal pris</t>
  </si>
  <si>
    <t>Pris ved vinningsoptimal mengde</t>
  </si>
  <si>
    <t>SEK ved vinningsoptimal mengde</t>
  </si>
  <si>
    <t>Maksimalt overskudd</t>
  </si>
  <si>
    <t>(Pris − SEK) × vinningsoptimal mengde</t>
  </si>
  <si>
    <t>Maksimalt dekningsbidrag</t>
  </si>
  <si>
    <t>FTK + maksimalt overskudd</t>
  </si>
  <si>
    <t>d) Elastisitet</t>
  </si>
  <si>
    <t>Formel (formelarket §3)</t>
  </si>
  <si>
    <t>Pris før</t>
  </si>
  <si>
    <t>Pris etter</t>
  </si>
  <si>
    <t>Mengde før</t>
  </si>
  <si>
    <t>Mengde etter</t>
  </si>
  <si>
    <t>Elastisitetskoeffisient eₚ</t>
  </si>
  <si>
    <t>(mengdeendring / laveste mengde) / (prisendring / laveste pris)</t>
  </si>
  <si>
    <t>Type etterspørsel</t>
  </si>
  <si>
    <t>|eₚ| &gt; 1 elastisk · &lt; 1 uelastisk · = 1 nøytral</t>
  </si>
  <si>
    <t>Endring i STI</t>
  </si>
  <si>
    <t>Ved elastisk etterspørsel øker inntekten når prisen settes ned</t>
  </si>
  <si>
    <t>5  Kalkulasjon – selvkost og bidrag</t>
  </si>
  <si>
    <t>Oppgave: En industribedrift har dette budsjettet for året: indirekte kostnader i innkjøpsavdelingen 150 000 kr, direkte materialer 1 000 000 kr, indirekte kostnader i tilvirkningsavdelingen 900 000 kr, direkte lønn 600 000 kr og indirekte kostnader i salg og administrasjon 540 000 kr.
a) Beregn tilleggssatsene.   b) En ordre krever 2 000 kr i direkte materialer og 1 200 kr i direkte lønn. Sett opp selvkostkalkyle med 15 % fortjeneste.
c) 50 % av indirekte innkjøpskostnader, 40 % av indirekte tilvirkningskostnader og 25 % av salg/adm. er variable. Sett opp bidragskalkyle med samme salgspris.
d) En snekker bruker 4 000 kr i materialer, 6 timer à 650 kr og 800 kr i indirekte kostnader. Finn produktkostnaden.</t>
  </si>
  <si>
    <t>a) Tilleggssatser</t>
  </si>
  <si>
    <t>Formel (formelarket §5)</t>
  </si>
  <si>
    <t>Indirekte kostnader innkjøpsavdeling</t>
  </si>
  <si>
    <t>Direkte materialkostnader (totalt)</t>
  </si>
  <si>
    <t>Indirekte kostnader tilvirkningsavdeling</t>
  </si>
  <si>
    <t>Direkte lønn (totalt)</t>
  </si>
  <si>
    <t>Indirekte kostnader salg og adm.</t>
  </si>
  <si>
    <t>Tilleggssats innkjøp (material)</t>
  </si>
  <si>
    <t>Indirekte innkjøp / direkte materialkostnader</t>
  </si>
  <si>
    <t>Tilleggssats tilvirkning</t>
  </si>
  <si>
    <t>Indirekte tilvirkning / direkte lønn</t>
  </si>
  <si>
    <t>Tilvirkningskostnader totalt</t>
  </si>
  <si>
    <t>Direkte mat. + ind. innkjøp + direkte lønn + ind. tilvirkning</t>
  </si>
  <si>
    <t>Tilleggssats salg og adm.</t>
  </si>
  <si>
    <t>Indirekte salg/adm. / tilvirkningskostnader</t>
  </si>
  <si>
    <t>b) Selvkostkalkyle for ordren</t>
  </si>
  <si>
    <t>Post</t>
  </si>
  <si>
    <t>Beløp</t>
  </si>
  <si>
    <t>Forklaring</t>
  </si>
  <si>
    <t>Direkte materialer</t>
  </si>
  <si>
    <t>+ Direkte lønn</t>
  </si>
  <si>
    <t>Fortjenestepåslag</t>
  </si>
  <si>
    <t>+ Indirekte materialkostnader</t>
  </si>
  <si>
    <t>Direkte materialer × tilleggssats innkjøp</t>
  </si>
  <si>
    <t>+ Indirekte kostnader i tilvirkningen</t>
  </si>
  <si>
    <t>Direkte lønn × tilleggssats tilvirkning</t>
  </si>
  <si>
    <t>= Sum tilvirkningskostnader</t>
  </si>
  <si>
    <t>+ Indirekte kostnader salg og adm.</t>
  </si>
  <si>
    <t>Tilvirkningskost × tilleggssats salg/adm.</t>
  </si>
  <si>
    <t>= Selvkost</t>
  </si>
  <si>
    <t>+ Fortjeneste</t>
  </si>
  <si>
    <t>Selvkost × fortjenestepåslag</t>
  </si>
  <si>
    <t>= Salgspris</t>
  </si>
  <si>
    <t>c) Bidragskalkyle for ordren</t>
  </si>
  <si>
    <t>Variabel andel ind. innkjøp</t>
  </si>
  <si>
    <t>Variabel andel ind. tilvirkning</t>
  </si>
  <si>
    <t>Variabel andel ind. salg/adm.</t>
  </si>
  <si>
    <t>+ Indirekte variable materialkostnader</t>
  </si>
  <si>
    <t>+ Indirekte variable kostnader i tilvirkningen</t>
  </si>
  <si>
    <t>= Variable tilvirkningskostnader</t>
  </si>
  <si>
    <t>+ Indirekte variable kostnader i salg</t>
  </si>
  <si>
    <t>= Totale variable kostnader (minimumskost)</t>
  </si>
  <si>
    <t>Laveste pris som dekker de variable kostnadene</t>
  </si>
  <si>
    <t>+ Dekningsbidrag</t>
  </si>
  <si>
    <t>Salgspris − totale variable kostnader</t>
  </si>
  <si>
    <t>d) Håndverksbedrift</t>
  </si>
  <si>
    <t>Materialkostnader</t>
  </si>
  <si>
    <t>Antall timer</t>
  </si>
  <si>
    <t>Timepris</t>
  </si>
  <si>
    <t>Indirekte kostnader</t>
  </si>
  <si>
    <t>Produktkostnad</t>
  </si>
  <si>
    <t>Materialkostnader + timepris × timer + indirekte kostnader</t>
  </si>
  <si>
    <t>6  KVR-analyse (kostnad–volum–resultat)</t>
  </si>
  <si>
    <t>Oppgave: Et produkt selges for 500 kr per enhet. Variable kostnader er 300 kr per enhet og faste kostnader 400 000 kr per år. Budsjettert salg er 2 500 enheter.
a) Finn DB, DG og dekningspunktet i enheter og kroner.   b) Finn sikkerhetsmargin og sikkerhetsgrad.
c) Hvor mye må bedriften selge for å få et overskudd på 150 000 kr?
d) Bedriften selger to produkter: A har DG 40 % og 60 % av omsetningen, B har DG 25 % og 40 % av omsetningen. Finn gjennomsnittlig DG og dekningspunktet i kroner.</t>
  </si>
  <si>
    <t>a–c) Ett produkt</t>
  </si>
  <si>
    <t>Formel (formelarket §6)</t>
  </si>
  <si>
    <t>Salgspris per enhet</t>
  </si>
  <si>
    <t>Variable kostnader per enhet</t>
  </si>
  <si>
    <t>Faste kostnader (FK)</t>
  </si>
  <si>
    <t>Budsjettert salg (enheter)</t>
  </si>
  <si>
    <t>Målsatt overskudd</t>
  </si>
  <si>
    <t>Dekningsgrad (DG)</t>
  </si>
  <si>
    <t>Dekningspunkt i enheter</t>
  </si>
  <si>
    <t>FK / DB per enhet</t>
  </si>
  <si>
    <t>Dekningspunkt i kroner</t>
  </si>
  <si>
    <t>FK / DG</t>
  </si>
  <si>
    <t>Salgsinntekt (budsjett)</t>
  </si>
  <si>
    <t>Pris × mengde</t>
  </si>
  <si>
    <t>Sikkerhetsmargin i kr</t>
  </si>
  <si>
    <t>Salgsinntekt − dekningspunktomsetning i kr</t>
  </si>
  <si>
    <t>Sikkerhetsmargin i enheter</t>
  </si>
  <si>
    <t>Solgte enheter − dekningspunkt i enheter</t>
  </si>
  <si>
    <t>Sikkerhetsgrad</t>
  </si>
  <si>
    <t>SM i kr / salgsinntekt</t>
  </si>
  <si>
    <t>Målsatt salg i kr</t>
  </si>
  <si>
    <t>(FK + målsatt overskudd) / DG</t>
  </si>
  <si>
    <t>Målsatt salg i enheter</t>
  </si>
  <si>
    <t>(FK + overskudd) / DB per enhet</t>
  </si>
  <si>
    <t>Kontroll: salgsinntekt fra sikkerhetsgrad</t>
  </si>
  <si>
    <t>Dekningspunktomsetning / (1 − sikkerhetsgrad)</t>
  </si>
  <si>
    <t>Resultat ved budsjettert salg</t>
  </si>
  <si>
    <t>DB × mengde − FK</t>
  </si>
  <si>
    <t>d) To produkter</t>
  </si>
  <si>
    <t>DG produkt A</t>
  </si>
  <si>
    <t>Omsetningsandel A</t>
  </si>
  <si>
    <t>DG produkt B</t>
  </si>
  <si>
    <t>Omsetningsandel B</t>
  </si>
  <si>
    <t>Resten av omsetningen</t>
  </si>
  <si>
    <t>Gjennomsnittlig DG</t>
  </si>
  <si>
    <t>(DG A × andel A) + (DG B × andel B)</t>
  </si>
  <si>
    <t>FK / gjennomsnittlig DG</t>
  </si>
  <si>
    <t>Diagram: kostnader og inntekter</t>
  </si>
  <si>
    <t>Salgsinntekt</t>
  </si>
  <si>
    <t>Totale kostnader</t>
  </si>
  <si>
    <t>Faste kostnader</t>
  </si>
  <si>
    <t>7  Produktvalg med knapp faktor</t>
  </si>
  <si>
    <t>Oppgave: En bedrift lager tre produkter som alle går gjennom samme maskin. Maskinen har 10 000 timer ledig kapasitet. Pris, variable kostnader, maskintid og maksimal etterspørsel står i tabellen.
a) Finn DB per enhet og DB per maskintime (knapp faktor).   b) Hvilken produksjonsplan gir størst samlet DB?</t>
  </si>
  <si>
    <t>Maskinkapasitet (timer)</t>
  </si>
  <si>
    <t>Beregning</t>
  </si>
  <si>
    <t>Produkt A</t>
  </si>
  <si>
    <t>Produkt B</t>
  </si>
  <si>
    <t>Produkt C</t>
  </si>
  <si>
    <t>Formel (formelarket §7)</t>
  </si>
  <si>
    <t>Maskintimer per enhet</t>
  </si>
  <si>
    <t>Maksimal etterspørsel (enheter)</t>
  </si>
  <si>
    <t>DB per enhet</t>
  </si>
  <si>
    <t>Salgspris − variable kostnader</t>
  </si>
  <si>
    <t>DB per maskintime (knapp faktor)</t>
  </si>
  <si>
    <t>DB per enhet / forbruk av knapp faktor</t>
  </si>
  <si>
    <t>Prioritet (1 = høyest DB per time)</t>
  </si>
  <si>
    <t>Produser i rekkefølge etter DB per knapp faktor</t>
  </si>
  <si>
    <t>Maks antall enheter om bare dette lages</t>
  </si>
  <si>
    <t>Kapasitet / forbruk per enhet</t>
  </si>
  <si>
    <t>Timer for full etterspørsel</t>
  </si>
  <si>
    <t>Timer brukt av høyere prioriterte</t>
  </si>
  <si>
    <t>Ledige timer til dette produktet</t>
  </si>
  <si>
    <t>Produksjon (enheter)</t>
  </si>
  <si>
    <t>Lavest av etterspørsel og det kapasiteten rekker</t>
  </si>
  <si>
    <t>Maskintimer brukt</t>
  </si>
  <si>
    <t>Samlet DB</t>
  </si>
  <si>
    <t>Totalt dekningsbidrag</t>
  </si>
  <si>
    <t>Totalt brukte maskintimer</t>
  </si>
  <si>
    <t>Skal ikke overstige kapasiteten</t>
  </si>
  <si>
    <t>8–9  Budsjettkontroll, standardkost og avvik</t>
  </si>
  <si>
    <t>Oppgave A – inntektsavvik: Budsjett: 1 000 enheter à 800 kr med DB 300 kr per enhet. Virkelig: 1 100 enheter à 780 kr.
Oppgave B – standardkost: Det ble produsert 1 000 enheter. Standard: 4 kg materialer à 25 kr og 2 timer à 300 kr per enhet. Indirekte variable kostnader har standard tilleggssats 80 kr per time. Indirekte faste kostnader er budsjettert til 240 000 kr ved 2 400 timer.
Virkelig: 4 300 kg à 24 kr, 2 100 timer à 310 kr, indirekte VK 175 000 kr og indirekte FK 250 000 kr. Analyser avvikene.
Positivt avvik = gunstig, negativt = ugunstig.</t>
  </si>
  <si>
    <t>A) Avviksanalyse på inntektene</t>
  </si>
  <si>
    <t>Vurdering</t>
  </si>
  <si>
    <t>Formel (formelarket §8)</t>
  </si>
  <si>
    <t>Budsjettert volum</t>
  </si>
  <si>
    <t>Budsjettert pris</t>
  </si>
  <si>
    <t>Budsjettert DB per enhet</t>
  </si>
  <si>
    <t>Virkelig volum</t>
  </si>
  <si>
    <t>Virkelig pris</t>
  </si>
  <si>
    <t>Inntektsavvik</t>
  </si>
  <si>
    <t>Virkelig inntekt − budsjettert inntekt</t>
  </si>
  <si>
    <t>Salgsvolumavvik</t>
  </si>
  <si>
    <t>(Virkelig volum − budsjettert volum) × budsjettert pris</t>
  </si>
  <si>
    <t>Salgsprisavvik</t>
  </si>
  <si>
    <t>(Virkelig pris − budsjettert pris) × virkelig volum</t>
  </si>
  <si>
    <t>Kontroll: volumavvik + prisavvik</t>
  </si>
  <si>
    <t>Skal bli lik inntektsavviket</t>
  </si>
  <si>
    <t>Salgets resultatavvik</t>
  </si>
  <si>
    <t>(Volumavvik i enheter × DB per enhet) ± salgsprisavvik</t>
  </si>
  <si>
    <t>B) Standardkost – inndata</t>
  </si>
  <si>
    <t>Formel / merknad</t>
  </si>
  <si>
    <t>Produserte enheter</t>
  </si>
  <si>
    <t>Standard materialmengde per enhet (kg)</t>
  </si>
  <si>
    <t>Standard materialpris per kg</t>
  </si>
  <si>
    <t>Virkelig materialmengde (kg)</t>
  </si>
  <si>
    <t>Virkelig materialpris per kg</t>
  </si>
  <si>
    <t>Standard tid per enhet (timer)</t>
  </si>
  <si>
    <t>Standard lønnssats per time</t>
  </si>
  <si>
    <t>Virkelig tid (timer)</t>
  </si>
  <si>
    <t>Virkelig lønnssats per time</t>
  </si>
  <si>
    <t>Standard tilleggssats indirekte VK per time</t>
  </si>
  <si>
    <t>Virkelige indirekte VK</t>
  </si>
  <si>
    <t>Budsjetterte indirekte FK</t>
  </si>
  <si>
    <t>Budsjettert aktivitet (timer)</t>
  </si>
  <si>
    <t>Virkelige indirekte FK</t>
  </si>
  <si>
    <t>Standard mengde totalt (kg)</t>
  </si>
  <si>
    <t>Std. mengde per enhet × produsert mengde</t>
  </si>
  <si>
    <t>Standard tid totalt (timer)</t>
  </si>
  <si>
    <t>Std. tid per enhet × produsert mengde</t>
  </si>
  <si>
    <t>Standard tilleggssats indirekte FK per time</t>
  </si>
  <si>
    <t>Budsjetterte indirekte FK / budsjettert aktivitet (§8 tilleggssats)</t>
  </si>
  <si>
    <t>Standardkost per enhet</t>
  </si>
  <si>
    <t>Materialer + lønn + indirekte kostnader per enhet</t>
  </si>
  <si>
    <t>B) Standardkost – avvik</t>
  </si>
  <si>
    <t>Formel (formelarket §9)</t>
  </si>
  <si>
    <t>Materialer</t>
  </si>
  <si>
    <t>Materialprisavvik</t>
  </si>
  <si>
    <t>(Std. pris − virkelig pris) × virkelig mengde</t>
  </si>
  <si>
    <t>Materialmengdeavvik</t>
  </si>
  <si>
    <t>(Std. mengde − virkelig mengde) × std. pris</t>
  </si>
  <si>
    <t>Materialavvik totalt</t>
  </si>
  <si>
    <t>Prisavvik ± mengdeavvik</t>
  </si>
  <si>
    <t>Kontroll: std. materialkost − virkelig</t>
  </si>
  <si>
    <t>Skal bli lik materialavvik totalt</t>
  </si>
  <si>
    <t>Lønn</t>
  </si>
  <si>
    <t>Lønnssatsavvik</t>
  </si>
  <si>
    <t>(Std. lønnssats − virkelig lønnssats) × virkelig tid</t>
  </si>
  <si>
    <t>Tidsavvik</t>
  </si>
  <si>
    <t>(Std. tid − virkelig tid) × std. lønnssats</t>
  </si>
  <si>
    <t>Lønnsavvik totalt</t>
  </si>
  <si>
    <t>Std. lønnskostnad − virkelige lønnskostnader</t>
  </si>
  <si>
    <t>Indirekte variable kostnader</t>
  </si>
  <si>
    <t>Forbruksavvik indirekte VK</t>
  </si>
  <si>
    <t>(Virkelig tid × std. tilleggssats) − virkelige indirekte VK</t>
  </si>
  <si>
    <t>Effektivitetsavvik indirekte VK</t>
  </si>
  <si>
    <t>(Std. tid × std. sats) − (virkelig tid × std. sats)</t>
  </si>
  <si>
    <t>Avvik indirekte VK totalt</t>
  </si>
  <si>
    <t>Indirekte faste kostnader</t>
  </si>
  <si>
    <t>Forbruksavvik indirekte FK</t>
  </si>
  <si>
    <t>Budsjetterte indirekte FK − virkelige indirekte FK</t>
  </si>
  <si>
    <t>Beskjeftigelsesavvik indirekte FK</t>
  </si>
  <si>
    <t>(Std. tid × std. tilleggssats) − budsjetterte indirekte FK</t>
  </si>
  <si>
    <t>Avvik indirekte FK totalt</t>
  </si>
  <si>
    <t>10  ABC – aktivitetsbasert kalkyle</t>
  </si>
  <si>
    <t>Oppgave: En bedrift har to aktiviteter. Ordrebehandling har budsjetterte kostnader på 300 000 kr og kapasitet til 2 000 ordrer. Maskinoppsett har budsjetterte kostnader på 200 000 kr og kapasitet til 400 oppsett. Planlagt, forventet og virkelig driverforbruk står i tabellen.
a) Beregn aktivitetssatsene.   b) Analyser kapasitetsutnyttelse og avvik.   c) Fordel kostnadene på produkt X og Y.</t>
  </si>
  <si>
    <t>a–b) Aktiviteter</t>
  </si>
  <si>
    <t>Ordrebehandling</t>
  </si>
  <si>
    <t>Maskinoppsett</t>
  </si>
  <si>
    <t>Formel (formelarket §10)</t>
  </si>
  <si>
    <t>Budsjetterte kostnader (norm)</t>
  </si>
  <si>
    <t>Kapasitet stilt til disposisjon (driver)</t>
  </si>
  <si>
    <t>Planlagt driverforbruk</t>
  </si>
  <si>
    <t>Forventet driverforbruk (standard)</t>
  </si>
  <si>
    <t>Virkelig driverforbruk</t>
  </si>
  <si>
    <t>Virkelige kostnader</t>
  </si>
  <si>
    <t>Aktivitetssats</t>
  </si>
  <si>
    <t>Budsjetterte kostnader / budsjettert aktivitet (kapasitet)</t>
  </si>
  <si>
    <t>Kostnad for uutnyttet kapasitet</t>
  </si>
  <si>
    <t>(Planlagt driverforbruk − kapasitet) × aktivitetssats</t>
  </si>
  <si>
    <t>Effektivitetsavvik</t>
  </si>
  <si>
    <t>(Forventet driverforbruk − virkelig driverforbruk) × aktivitetssats</t>
  </si>
  <si>
    <t>Forbruksavvik</t>
  </si>
  <si>
    <t>Norm (budsjett) − virkelige kostnader</t>
  </si>
  <si>
    <t>Resultateffekt av uutnyttet kapasitet</t>
  </si>
  <si>
    <t>(Virkelig driverforbruk − disponibel kapasitet) × aktivitetssats</t>
  </si>
  <si>
    <t>Negative tall = kostnad for ledig kapasitet / ugunstig avvik.</t>
  </si>
  <si>
    <t>c) Kostnadsfordeling på produkter</t>
  </si>
  <si>
    <t>Produkt</t>
  </si>
  <si>
    <t>Antall ordrer</t>
  </si>
  <si>
    <t>Antall oppsett</t>
  </si>
  <si>
    <t>ABC-kostnad</t>
  </si>
  <si>
    <t>Produkt X</t>
  </si>
  <si>
    <t>Driverforbruk × aktivitetssats, summert over aktivitetene</t>
  </si>
  <si>
    <t>Produkt Y</t>
  </si>
  <si>
    <t>Sum fordelt</t>
  </si>
  <si>
    <t>Fordelt kostnad er lavere enn budsjettet – differansen er ledig kapasitet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</si>
</sst>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quot;kr&quot;;\-#,##0\ &quot;kr&quot;;&quot;-&quot;"/>
    <numFmt numFmtId="165" formatCode="0.0%;\-0.0%;&quot;-&quot;"/>
    <numFmt numFmtId="166" formatCode="#,##0.00\ &quot;kr&quot;;\-#,##0.00\ &quot;kr&quot;;&quot;-&quot;"/>
    <numFmt numFmtId="167" formatCode="#,##0;\-#,##0;&quot;-&quot;"/>
    <numFmt numFmtId="168" formatCode="&quot;År &quot;0"/>
    <numFmt numFmtId="169" formatCode="0.00;\-0.00;&quot;-&quot;"/>
  </numFmts>
  <fonts count="12" x14ac:knownFonts="1">
    <font>
      <sz val="11"/>
      <color theme="1"/>
      <name val="Calibri"/>
      <family val="2"/>
      <scheme val="minor"/>
    </font>
    <font>
      <b/>
      <sz val="18"/>
      <name val="Arial"/>
    </font>
    <font>
      <u/>
      <sz val="9"/>
      <color rgb="FF0071E3"/>
      <name val="Arial"/>
    </font>
    <font>
      <sz val="11"/>
      <name val="Arial"/>
    </font>
    <font>
      <b/>
      <sz val="11"/>
      <color rgb="FFFFFFFF"/>
      <name val="Arial"/>
    </font>
    <font>
      <b/>
      <sz val="11"/>
      <name val="Arial"/>
    </font>
    <font>
      <sz val="11"/>
      <color rgb="FF0000FF"/>
      <name val="Arial"/>
    </font>
    <font>
      <sz val="11"/>
      <color rgb="FF6E6E73"/>
      <name val="Arial"/>
    </font>
    <font>
      <i/>
      <sz val="11"/>
      <color rgb="FF6E6E73"/>
      <name val="Arial"/>
    </font>
    <font>
      <b/>
      <sz val="11"/>
      <color rgb="FF0071E3"/>
      <name val="Arial"/>
    </font>
    <font>
      <b/>
      <sz val="22"/>
      <name val="Arial"/>
    </font>
    <font>
      <u/>
      <sz val="11"/>
      <color rgb="FF0071E3"/>
      <name val="Arial"/>
    </font>
  </fonts>
  <fills count="7">
    <fill>
      <patternFill patternType="none"/>
    </fill>
    <fill>
      <patternFill patternType="gray125"/>
    </fill>
    <fill>
      <patternFill patternType="solid">
        <fgColor rgb="FFF5F5F7"/>
      </patternFill>
    </fill>
    <fill>
      <patternFill patternType="solid">
        <fgColor rgb="FF1D1D1F"/>
      </patternFill>
    </fill>
    <fill>
      <patternFill patternType="solid">
        <fgColor rgb="FFEEF4FF"/>
      </patternFill>
    </fill>
    <fill>
      <patternFill patternType="solid">
        <fgColor rgb="FFFFF2CC"/>
      </patternFill>
    </fill>
    <fill>
      <patternFill patternType="solid">
        <fgColor rgb="FFE2F0D9"/>
      </patternFill>
    </fill>
  </fills>
  <borders count="2">
    <border>
      <left/>
      <right/>
      <top/>
      <bottom/>
      <diagonal/>
    </border>
    <border>
      <left/>
      <right/>
      <top/>
      <bottom style="thin">
        <color rgb="FFD9D9D9"/>
      </bottom>
      <diagonal/>
    </border>
  </borders>
  <cellStyleXfs count="1">
    <xf numFmtId="0" fontId="0" fillId="0" borderId="0"/>
  </cellStyleXfs>
  <cellXfs count="39">
    <xf numFmtId="0" fontId="0" fillId="0" borderId="0" xfId="0"/>
    <xf numFmtId="0" fontId="10" fillId="0" borderId="0" xfId="0" applyFont="1"/>
    <xf numFmtId="0" fontId="7" fillId="0" borderId="0" xfId="0" applyFont="1"/>
    <xf numFmtId="0" fontId="5" fillId="0" borderId="0" xfId="0" applyFont="1"/>
    <xf numFmtId="0" fontId="6" fillId="5" borderId="0" xfId="0" applyFont="1" applyFill="1"/>
    <xf numFmtId="0" fontId="3" fillId="0" borderId="0" xfId="0" applyFont="1"/>
    <xf numFmtId="0" fontId="5" fillId="6" borderId="0" xfId="0" applyFont="1" applyFill="1"/>
    <xf numFmtId="0" fontId="11" fillId="0" borderId="1" xfId="0" applyFont="1" applyBorder="1"/>
    <xf numFmtId="0" fontId="3" fillId="0" borderId="1" xfId="0" applyFont="1" applyBorder="1"/>
    <xf numFmtId="0" fontId="1" fillId="0" borderId="0" xfId="0" applyFont="1"/>
    <xf numFmtId="0" fontId="2" fillId="0" borderId="0" xfId="0" applyFont="1"/>
    <xf numFmtId="0" fontId="4" fillId="3" borderId="0" xfId="0" applyFont="1" applyFill="1"/>
    <xf numFmtId="0" fontId="0" fillId="3" borderId="0" xfId="0" applyFill="1"/>
    <xf numFmtId="0" fontId="5" fillId="4" borderId="1" xfId="0" applyFont="1" applyFill="1" applyBorder="1"/>
    <xf numFmtId="164" fontId="6" fillId="5" borderId="1" xfId="0" applyNumberFormat="1" applyFont="1" applyFill="1" applyBorder="1"/>
    <xf numFmtId="165" fontId="6" fillId="5" borderId="1" xfId="0" applyNumberFormat="1" applyFont="1" applyFill="1" applyBorder="1"/>
    <xf numFmtId="164" fontId="3" fillId="0" borderId="1" xfId="0" applyNumberFormat="1" applyFont="1" applyBorder="1"/>
    <xf numFmtId="0" fontId="7" fillId="0" borderId="1" xfId="0" applyFont="1" applyBorder="1"/>
    <xf numFmtId="165" fontId="3" fillId="0" borderId="1" xfId="0" applyNumberFormat="1" applyFont="1" applyBorder="1"/>
    <xf numFmtId="0" fontId="5" fillId="6" borderId="1" xfId="0" applyFont="1" applyFill="1" applyBorder="1"/>
    <xf numFmtId="166" fontId="5" fillId="6" borderId="1" xfId="0" applyNumberFormat="1" applyFont="1" applyFill="1" applyBorder="1"/>
    <xf numFmtId="164" fontId="5" fillId="6" borderId="1" xfId="0" applyNumberFormat="1" applyFont="1" applyFill="1" applyBorder="1"/>
    <xf numFmtId="167" fontId="6" fillId="5" borderId="1" xfId="0" applyNumberFormat="1" applyFont="1" applyFill="1" applyBorder="1"/>
    <xf numFmtId="168" fontId="5" fillId="0" borderId="1" xfId="0" applyNumberFormat="1" applyFont="1" applyBorder="1"/>
    <xf numFmtId="0" fontId="3" fillId="6" borderId="1" xfId="0" applyFont="1" applyFill="1" applyBorder="1"/>
    <xf numFmtId="0" fontId="8" fillId="0" borderId="1" xfId="0" applyFont="1" applyBorder="1"/>
    <xf numFmtId="167" fontId="5" fillId="0" borderId="1" xfId="0" applyNumberFormat="1" applyFont="1" applyBorder="1"/>
    <xf numFmtId="166" fontId="3" fillId="0" borderId="1" xfId="0" applyNumberFormat="1" applyFont="1" applyBorder="1"/>
    <xf numFmtId="167" fontId="5" fillId="6" borderId="1" xfId="0" applyNumberFormat="1" applyFont="1" applyFill="1" applyBorder="1"/>
    <xf numFmtId="169" fontId="5" fillId="6" borderId="1" xfId="0" applyNumberFormat="1" applyFont="1" applyFill="1" applyBorder="1"/>
    <xf numFmtId="165" fontId="5" fillId="6" borderId="1" xfId="0" applyNumberFormat="1" applyFont="1" applyFill="1" applyBorder="1"/>
    <xf numFmtId="0" fontId="3" fillId="0" borderId="1" xfId="0" quotePrefix="1" applyFont="1" applyBorder="1"/>
    <xf numFmtId="0" fontId="5" fillId="6" borderId="1" xfId="0" quotePrefix="1" applyFont="1" applyFill="1" applyBorder="1"/>
    <xf numFmtId="167" fontId="3" fillId="0" borderId="1" xfId="0" applyNumberFormat="1" applyFont="1" applyBorder="1"/>
    <xf numFmtId="0" fontId="5" fillId="0" borderId="1" xfId="0" applyFont="1" applyBorder="1"/>
    <xf numFmtId="0" fontId="9" fillId="0" borderId="0" xfId="0" applyFont="1"/>
    <xf numFmtId="164" fontId="5" fillId="0" borderId="1" xfId="0" applyNumberFormat="1" applyFont="1" applyBorder="1"/>
    <xf numFmtId="0" fontId="3" fillId="2" borderId="0" xfId="0" applyFont="1" applyFill="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Dekningspunkt – der salgsinntekt krysser totale kostnader</a:t>
            </a:r>
          </a:p>
        </c:rich>
      </c:tx>
      <c:overlay val="1"/>
    </c:title>
    <c:autoTitleDeleted val="0"/>
    <c:plotArea>
      <c:layout/>
      <c:lineChart>
        <c:grouping val="standard"/>
        <c:varyColors val="1"/>
        <c:ser>
          <c:idx val="0"/>
          <c:order val="0"/>
          <c:tx>
            <c:strRef>
              <c:f>'4 KVR-analyse'!$B$36</c:f>
              <c:strCache>
                <c:ptCount val="1"/>
                <c:pt idx="0">
                  <c:v>Salgsinntekt</c:v>
                </c:pt>
              </c:strCache>
            </c:strRef>
          </c:tx>
          <c:spPr>
            <a:ln w="28000">
              <a:solidFill>
                <a:srgbClr val="0071E3"/>
              </a:solidFill>
              <a:prstDash val="solid"/>
            </a:ln>
          </c:spPr>
          <c:marker>
            <c:symbol val="none"/>
          </c:marker>
          <c:cat>
            <c:numRef>
              <c:f>'4 KVR-analyse'!$A$37:$A$45</c:f>
              <c:numCache>
                <c:formatCode>#,##0;\-#,##0;"-"</c:formatCode>
                <c:ptCount val="9"/>
                <c:pt idx="0">
                  <c:v>0</c:v>
                </c:pt>
                <c:pt idx="1">
                  <c:v>500</c:v>
                </c:pt>
                <c:pt idx="2">
                  <c:v>1000</c:v>
                </c:pt>
                <c:pt idx="3">
                  <c:v>1500</c:v>
                </c:pt>
                <c:pt idx="4">
                  <c:v>2000</c:v>
                </c:pt>
                <c:pt idx="5">
                  <c:v>2500</c:v>
                </c:pt>
                <c:pt idx="6">
                  <c:v>3000</c:v>
                </c:pt>
                <c:pt idx="7">
                  <c:v>3500</c:v>
                </c:pt>
                <c:pt idx="8">
                  <c:v>4000</c:v>
                </c:pt>
              </c:numCache>
            </c:numRef>
          </c:cat>
          <c:val>
            <c:numRef>
              <c:f>'4 KVR-analyse'!$B$37:$B$45</c:f>
              <c:numCache>
                <c:formatCode>#,##0\ "kr";\-#,##0\ "kr";"-"</c:formatCode>
                <c:ptCount val="9"/>
                <c:pt idx="0">
                  <c:v>0</c:v>
                </c:pt>
                <c:pt idx="1">
                  <c:v>250000</c:v>
                </c:pt>
                <c:pt idx="2">
                  <c:v>500000</c:v>
                </c:pt>
                <c:pt idx="3">
                  <c:v>750000</c:v>
                </c:pt>
                <c:pt idx="4">
                  <c:v>1000000</c:v>
                </c:pt>
                <c:pt idx="5">
                  <c:v>1250000</c:v>
                </c:pt>
                <c:pt idx="6">
                  <c:v>1500000</c:v>
                </c:pt>
                <c:pt idx="7">
                  <c:v>1750000</c:v>
                </c:pt>
                <c:pt idx="8">
                  <c:v>2000000</c:v>
                </c:pt>
              </c:numCache>
            </c:numRef>
          </c:val>
          <c:smooth val="0"/>
          <c:extLst>
            <c:ext xmlns:c16="http://schemas.microsoft.com/office/drawing/2014/chart" uri="{C3380CC4-5D6E-409C-BE32-E72D297353CC}">
              <c16:uniqueId val="{00000000-05C8-4790-B30B-DD677E646D9C}"/>
            </c:ext>
          </c:extLst>
        </c:ser>
        <c:ser>
          <c:idx val="1"/>
          <c:order val="1"/>
          <c:tx>
            <c:strRef>
              <c:f>'4 KVR-analyse'!$C$36</c:f>
              <c:strCache>
                <c:ptCount val="1"/>
                <c:pt idx="0">
                  <c:v>Totale kostnader</c:v>
                </c:pt>
              </c:strCache>
            </c:strRef>
          </c:tx>
          <c:spPr>
            <a:ln w="28000">
              <a:solidFill>
                <a:srgbClr val="E8457C"/>
              </a:solidFill>
              <a:prstDash val="solid"/>
            </a:ln>
          </c:spPr>
          <c:marker>
            <c:symbol val="none"/>
          </c:marker>
          <c:cat>
            <c:numRef>
              <c:f>'4 KVR-analyse'!$A$37:$A$45</c:f>
              <c:numCache>
                <c:formatCode>#,##0;\-#,##0;"-"</c:formatCode>
                <c:ptCount val="9"/>
                <c:pt idx="0">
                  <c:v>0</c:v>
                </c:pt>
                <c:pt idx="1">
                  <c:v>500</c:v>
                </c:pt>
                <c:pt idx="2">
                  <c:v>1000</c:v>
                </c:pt>
                <c:pt idx="3">
                  <c:v>1500</c:v>
                </c:pt>
                <c:pt idx="4">
                  <c:v>2000</c:v>
                </c:pt>
                <c:pt idx="5">
                  <c:v>2500</c:v>
                </c:pt>
                <c:pt idx="6">
                  <c:v>3000</c:v>
                </c:pt>
                <c:pt idx="7">
                  <c:v>3500</c:v>
                </c:pt>
                <c:pt idx="8">
                  <c:v>4000</c:v>
                </c:pt>
              </c:numCache>
            </c:numRef>
          </c:cat>
          <c:val>
            <c:numRef>
              <c:f>'4 KVR-analyse'!$C$37:$C$45</c:f>
              <c:numCache>
                <c:formatCode>#,##0\ "kr";\-#,##0\ "kr";"-"</c:formatCode>
                <c:ptCount val="9"/>
                <c:pt idx="0">
                  <c:v>400000</c:v>
                </c:pt>
                <c:pt idx="1">
                  <c:v>550000</c:v>
                </c:pt>
                <c:pt idx="2">
                  <c:v>700000</c:v>
                </c:pt>
                <c:pt idx="3">
                  <c:v>850000</c:v>
                </c:pt>
                <c:pt idx="4">
                  <c:v>1000000</c:v>
                </c:pt>
                <c:pt idx="5">
                  <c:v>1150000</c:v>
                </c:pt>
                <c:pt idx="6">
                  <c:v>1300000</c:v>
                </c:pt>
                <c:pt idx="7">
                  <c:v>1450000</c:v>
                </c:pt>
                <c:pt idx="8">
                  <c:v>1600000</c:v>
                </c:pt>
              </c:numCache>
            </c:numRef>
          </c:val>
          <c:smooth val="0"/>
          <c:extLst>
            <c:ext xmlns:c16="http://schemas.microsoft.com/office/drawing/2014/chart" uri="{C3380CC4-5D6E-409C-BE32-E72D297353CC}">
              <c16:uniqueId val="{00000001-05C8-4790-B30B-DD677E646D9C}"/>
            </c:ext>
          </c:extLst>
        </c:ser>
        <c:ser>
          <c:idx val="2"/>
          <c:order val="2"/>
          <c:tx>
            <c:strRef>
              <c:f>'4 KVR-analyse'!$D$36</c:f>
              <c:strCache>
                <c:ptCount val="1"/>
                <c:pt idx="0">
                  <c:v>Faste kostnader</c:v>
                </c:pt>
              </c:strCache>
            </c:strRef>
          </c:tx>
          <c:spPr>
            <a:ln w="28000">
              <a:solidFill>
                <a:srgbClr val="86868B"/>
              </a:solidFill>
              <a:prstDash val="solid"/>
            </a:ln>
          </c:spPr>
          <c:marker>
            <c:symbol val="none"/>
          </c:marker>
          <c:cat>
            <c:numRef>
              <c:f>'4 KVR-analyse'!$A$37:$A$45</c:f>
              <c:numCache>
                <c:formatCode>#,##0;\-#,##0;"-"</c:formatCode>
                <c:ptCount val="9"/>
                <c:pt idx="0">
                  <c:v>0</c:v>
                </c:pt>
                <c:pt idx="1">
                  <c:v>500</c:v>
                </c:pt>
                <c:pt idx="2">
                  <c:v>1000</c:v>
                </c:pt>
                <c:pt idx="3">
                  <c:v>1500</c:v>
                </c:pt>
                <c:pt idx="4">
                  <c:v>2000</c:v>
                </c:pt>
                <c:pt idx="5">
                  <c:v>2500</c:v>
                </c:pt>
                <c:pt idx="6">
                  <c:v>3000</c:v>
                </c:pt>
                <c:pt idx="7">
                  <c:v>3500</c:v>
                </c:pt>
                <c:pt idx="8">
                  <c:v>4000</c:v>
                </c:pt>
              </c:numCache>
            </c:numRef>
          </c:cat>
          <c:val>
            <c:numRef>
              <c:f>'4 KVR-analyse'!$D$37:$D$45</c:f>
              <c:numCache>
                <c:formatCode>#,##0\ "kr";\-#,##0\ "kr";"-"</c:formatCode>
                <c:ptCount val="9"/>
                <c:pt idx="0">
                  <c:v>400000</c:v>
                </c:pt>
                <c:pt idx="1">
                  <c:v>400000</c:v>
                </c:pt>
                <c:pt idx="2">
                  <c:v>400000</c:v>
                </c:pt>
                <c:pt idx="3">
                  <c:v>400000</c:v>
                </c:pt>
                <c:pt idx="4">
                  <c:v>400000</c:v>
                </c:pt>
                <c:pt idx="5">
                  <c:v>400000</c:v>
                </c:pt>
                <c:pt idx="6">
                  <c:v>400000</c:v>
                </c:pt>
                <c:pt idx="7">
                  <c:v>400000</c:v>
                </c:pt>
                <c:pt idx="8">
                  <c:v>400000</c:v>
                </c:pt>
              </c:numCache>
            </c:numRef>
          </c:val>
          <c:smooth val="0"/>
          <c:extLst>
            <c:ext xmlns:c16="http://schemas.microsoft.com/office/drawing/2014/chart" uri="{C3380CC4-5D6E-409C-BE32-E72D297353CC}">
              <c16:uniqueId val="{00000002-05C8-4790-B30B-DD677E646D9C}"/>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t>Mengde</a:t>
                </a:r>
              </a:p>
            </c:rich>
          </c:tx>
          <c:overlay val="1"/>
        </c:title>
        <c:numFmt formatCode="#,##0;\-#,##0;&quot;-&quot;"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kr</a:t>
                </a:r>
              </a:p>
            </c:rich>
          </c:tx>
          <c:overlay val="1"/>
        </c:title>
        <c:numFmt formatCode="#,##0\ &quot;kr&quot;;\-#,##0\ &quot;kr&quot;;&quot;-&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46</xdr:row>
      <xdr:rowOff>0</xdr:rowOff>
    </xdr:from>
    <xdr:ext cx="6120000" cy="306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1E3"/>
  </sheetPr>
  <dimension ref="B2:C19"/>
  <sheetViews>
    <sheetView showGridLines="0" tabSelected="1" workbookViewId="0"/>
  </sheetViews>
  <sheetFormatPr defaultRowHeight="14.6" x14ac:dyDescent="0.4"/>
  <cols>
    <col min="1" max="1" width="4" customWidth="1"/>
    <col min="2" max="2" width="30" customWidth="1"/>
    <col min="3" max="3" width="78" customWidth="1"/>
  </cols>
  <sheetData>
    <row r="2" spans="2:3" ht="27.45" x14ac:dyDescent="0.65">
      <c r="B2" s="1" t="s">
        <v>0</v>
      </c>
    </row>
    <row r="3" spans="2:3" x14ac:dyDescent="0.4">
      <c r="B3" s="2" t="s">
        <v>1</v>
      </c>
    </row>
    <row r="5" spans="2:3" x14ac:dyDescent="0.4">
      <c r="B5" s="3" t="s">
        <v>2</v>
      </c>
    </row>
    <row r="6" spans="2:3" x14ac:dyDescent="0.4">
      <c r="B6" s="4" t="s">
        <v>3</v>
      </c>
      <c r="C6" s="5" t="s">
        <v>4</v>
      </c>
    </row>
    <row r="7" spans="2:3" x14ac:dyDescent="0.4">
      <c r="B7" s="5">
        <f>B1*2</f>
        <v>0</v>
      </c>
      <c r="C7" s="5" t="s">
        <v>5</v>
      </c>
    </row>
    <row r="8" spans="2:3" x14ac:dyDescent="0.4">
      <c r="B8" s="6" t="s">
        <v>6</v>
      </c>
      <c r="C8" s="5" t="s">
        <v>7</v>
      </c>
    </row>
    <row r="10" spans="2:3" x14ac:dyDescent="0.4">
      <c r="B10" s="3" t="s">
        <v>8</v>
      </c>
      <c r="C10" s="3" t="s">
        <v>9</v>
      </c>
    </row>
    <row r="11" spans="2:3" x14ac:dyDescent="0.4">
      <c r="B11" s="7" t="s">
        <v>10</v>
      </c>
      <c r="C11" s="8" t="s">
        <v>11</v>
      </c>
    </row>
    <row r="12" spans="2:3" x14ac:dyDescent="0.4">
      <c r="B12" s="7" t="s">
        <v>12</v>
      </c>
      <c r="C12" s="8" t="s">
        <v>13</v>
      </c>
    </row>
    <row r="13" spans="2:3" x14ac:dyDescent="0.4">
      <c r="B13" s="7" t="s">
        <v>14</v>
      </c>
      <c r="C13" s="8" t="s">
        <v>15</v>
      </c>
    </row>
    <row r="14" spans="2:3" x14ac:dyDescent="0.4">
      <c r="B14" s="7" t="s">
        <v>16</v>
      </c>
      <c r="C14" s="8" t="s">
        <v>17</v>
      </c>
    </row>
    <row r="15" spans="2:3" x14ac:dyDescent="0.4">
      <c r="B15" s="7" t="s">
        <v>18</v>
      </c>
      <c r="C15" s="8" t="s">
        <v>19</v>
      </c>
    </row>
    <row r="16" spans="2:3" x14ac:dyDescent="0.4">
      <c r="B16" s="7" t="s">
        <v>20</v>
      </c>
      <c r="C16" s="8" t="s">
        <v>21</v>
      </c>
    </row>
    <row r="17" spans="2:3" x14ac:dyDescent="0.4">
      <c r="B17" s="7" t="s">
        <v>22</v>
      </c>
      <c r="C17" s="8" t="s">
        <v>23</v>
      </c>
    </row>
    <row r="19" spans="2:3" x14ac:dyDescent="0.4">
      <c r="B19" s="2" t="s">
        <v>24</v>
      </c>
    </row>
  </sheetData>
  <hyperlinks>
    <hyperlink ref="B11" location="'1 Kostnadsbegreper'!A1" display="1 Kostnadsbegreper" xr:uid="{00000000-0004-0000-0000-000000000000}"/>
    <hyperlink ref="B12" location="'2 Kostnadsforløp'!A1" display="2 Kostnadsforløp" xr:uid="{00000000-0004-0000-0000-000001000000}"/>
    <hyperlink ref="B13" location="'3 Kalkulasjon'!A1" display="3 Kalkulasjon" xr:uid="{00000000-0004-0000-0000-000002000000}"/>
    <hyperlink ref="B14" location="'4 KVR-analyse'!A1" display="4 KVR-analyse" xr:uid="{00000000-0004-0000-0000-000003000000}"/>
    <hyperlink ref="B15" location="'5 Produktvalg'!A1" display="5 Produktvalg" xr:uid="{00000000-0004-0000-0000-000004000000}"/>
    <hyperlink ref="B16" location="'6 Avvik'!A1" display="6 Avvik" xr:uid="{00000000-0004-0000-0000-000005000000}"/>
    <hyperlink ref="B17" location="'7 ABC'!A1" display="7 ABC" xr:uid="{00000000-0004-0000-0000-00000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4"/>
  <sheetViews>
    <sheetView showGridLines="0" workbookViewId="0"/>
  </sheetViews>
  <sheetFormatPr defaultRowHeight="14.6" x14ac:dyDescent="0.4"/>
  <cols>
    <col min="1" max="1" width="46" customWidth="1"/>
    <col min="2" max="7" width="16" customWidth="1"/>
  </cols>
  <sheetData>
    <row r="1" spans="1:7" ht="30" customHeight="1" x14ac:dyDescent="0.55000000000000004">
      <c r="A1" s="9" t="s">
        <v>25</v>
      </c>
    </row>
    <row r="2" spans="1:7" x14ac:dyDescent="0.4">
      <c r="A2" s="10" t="s">
        <v>26</v>
      </c>
    </row>
    <row r="4" spans="1:7" ht="100.5" customHeight="1" x14ac:dyDescent="0.4">
      <c r="A4" s="37" t="s">
        <v>27</v>
      </c>
      <c r="B4" s="38"/>
      <c r="C4" s="38"/>
      <c r="D4" s="38"/>
      <c r="E4" s="38"/>
      <c r="F4" s="38"/>
      <c r="G4" s="38"/>
    </row>
    <row r="6" spans="1:7" x14ac:dyDescent="0.4">
      <c r="A6" s="11" t="s">
        <v>28</v>
      </c>
      <c r="B6" s="12"/>
      <c r="C6" s="12"/>
      <c r="D6" s="12"/>
      <c r="E6" s="12"/>
      <c r="F6" s="12"/>
      <c r="G6" s="12"/>
    </row>
    <row r="7" spans="1:7" x14ac:dyDescent="0.4">
      <c r="A7" s="13" t="s">
        <v>29</v>
      </c>
      <c r="B7" s="13" t="s">
        <v>30</v>
      </c>
      <c r="C7" s="13" t="s">
        <v>31</v>
      </c>
    </row>
    <row r="8" spans="1:7" x14ac:dyDescent="0.4">
      <c r="A8" s="8" t="s">
        <v>32</v>
      </c>
      <c r="B8" s="14">
        <v>600</v>
      </c>
      <c r="C8" s="8"/>
      <c r="D8" s="8"/>
      <c r="E8" s="8"/>
      <c r="F8" s="8"/>
      <c r="G8" s="8"/>
    </row>
    <row r="9" spans="1:7" x14ac:dyDescent="0.4">
      <c r="A9" s="8" t="s">
        <v>33</v>
      </c>
      <c r="B9" s="14">
        <v>1000</v>
      </c>
      <c r="C9" s="8"/>
      <c r="D9" s="8"/>
      <c r="E9" s="8"/>
      <c r="F9" s="8"/>
      <c r="G9" s="8"/>
    </row>
    <row r="10" spans="1:7" x14ac:dyDescent="0.4">
      <c r="A10" s="8" t="s">
        <v>34</v>
      </c>
      <c r="B10" s="14">
        <v>700</v>
      </c>
      <c r="C10" s="8"/>
      <c r="D10" s="8"/>
      <c r="E10" s="8"/>
      <c r="F10" s="8"/>
      <c r="G10" s="8"/>
    </row>
    <row r="11" spans="1:7" x14ac:dyDescent="0.4">
      <c r="A11" s="8" t="s">
        <v>35</v>
      </c>
      <c r="B11" s="15">
        <v>0.45</v>
      </c>
      <c r="C11" s="8"/>
      <c r="D11" s="8"/>
      <c r="E11" s="8"/>
      <c r="F11" s="8"/>
      <c r="G11" s="8"/>
    </row>
    <row r="12" spans="1:7" x14ac:dyDescent="0.4">
      <c r="A12" s="8" t="s">
        <v>36</v>
      </c>
      <c r="B12" s="16">
        <f>$B$9-$B$8</f>
        <v>400</v>
      </c>
      <c r="C12" s="17" t="s">
        <v>37</v>
      </c>
      <c r="D12" s="8"/>
      <c r="E12" s="8"/>
      <c r="F12" s="8"/>
      <c r="G12" s="8"/>
    </row>
    <row r="13" spans="1:7" x14ac:dyDescent="0.4">
      <c r="A13" s="8" t="s">
        <v>38</v>
      </c>
      <c r="B13" s="18">
        <f>$B$12/$B$8</f>
        <v>0.66666666666666663</v>
      </c>
      <c r="C13" s="17" t="s">
        <v>39</v>
      </c>
      <c r="D13" s="8"/>
      <c r="E13" s="8"/>
      <c r="F13" s="8"/>
      <c r="G13" s="8"/>
    </row>
    <row r="14" spans="1:7" x14ac:dyDescent="0.4">
      <c r="A14" s="8" t="s">
        <v>40</v>
      </c>
      <c r="B14" s="16">
        <f>$B$9-$B$8</f>
        <v>400</v>
      </c>
      <c r="C14" s="17" t="s">
        <v>41</v>
      </c>
      <c r="D14" s="8"/>
      <c r="E14" s="8"/>
      <c r="F14" s="8"/>
      <c r="G14" s="8"/>
    </row>
    <row r="15" spans="1:7" x14ac:dyDescent="0.4">
      <c r="A15" s="8" t="s">
        <v>42</v>
      </c>
      <c r="B15" s="18">
        <f>$B$14/$B$9</f>
        <v>0.4</v>
      </c>
      <c r="C15" s="17" t="s">
        <v>43</v>
      </c>
      <c r="D15" s="8"/>
      <c r="E15" s="8"/>
      <c r="F15" s="8"/>
      <c r="G15" s="8"/>
    </row>
    <row r="16" spans="1:7" x14ac:dyDescent="0.4">
      <c r="A16" s="8" t="s">
        <v>44</v>
      </c>
      <c r="B16" s="16">
        <f>$B$9-$B$10</f>
        <v>300</v>
      </c>
      <c r="C16" s="17" t="s">
        <v>45</v>
      </c>
      <c r="D16" s="8"/>
      <c r="E16" s="8"/>
      <c r="F16" s="8"/>
      <c r="G16" s="8"/>
    </row>
    <row r="17" spans="1:7" x14ac:dyDescent="0.4">
      <c r="A17" s="8" t="s">
        <v>46</v>
      </c>
      <c r="B17" s="18">
        <f>$B$16/$B$9</f>
        <v>0.3</v>
      </c>
      <c r="C17" s="17" t="s">
        <v>47</v>
      </c>
      <c r="D17" s="8"/>
      <c r="E17" s="8"/>
      <c r="F17" s="8"/>
      <c r="G17" s="8"/>
    </row>
    <row r="18" spans="1:7" x14ac:dyDescent="0.4">
      <c r="A18" s="19" t="s">
        <v>48</v>
      </c>
      <c r="B18" s="20">
        <f>$B$8/(1-$B$11)</f>
        <v>1090.9090909090908</v>
      </c>
      <c r="C18" s="17" t="s">
        <v>49</v>
      </c>
      <c r="D18" s="8"/>
      <c r="E18" s="8"/>
      <c r="F18" s="8"/>
      <c r="G18" s="8"/>
    </row>
    <row r="19" spans="1:7" x14ac:dyDescent="0.4">
      <c r="A19" s="8" t="s">
        <v>50</v>
      </c>
      <c r="B19" s="16">
        <f>$B$10/(1-$B$17)</f>
        <v>1000.0000000000001</v>
      </c>
      <c r="C19" s="17" t="s">
        <v>51</v>
      </c>
      <c r="D19" s="8"/>
      <c r="E19" s="8"/>
      <c r="F19" s="8"/>
      <c r="G19" s="8"/>
    </row>
    <row r="21" spans="1:7" x14ac:dyDescent="0.4">
      <c r="A21" s="11" t="s">
        <v>52</v>
      </c>
      <c r="B21" s="12"/>
      <c r="C21" s="12"/>
      <c r="D21" s="12"/>
      <c r="E21" s="12"/>
      <c r="F21" s="12"/>
      <c r="G21" s="12"/>
    </row>
    <row r="22" spans="1:7" x14ac:dyDescent="0.4">
      <c r="A22" s="13" t="s">
        <v>29</v>
      </c>
      <c r="B22" s="13" t="s">
        <v>30</v>
      </c>
      <c r="C22" s="13" t="s">
        <v>31</v>
      </c>
    </row>
    <row r="23" spans="1:7" x14ac:dyDescent="0.4">
      <c r="A23" s="8" t="s">
        <v>53</v>
      </c>
      <c r="B23" s="14">
        <v>120000</v>
      </c>
      <c r="C23" s="8"/>
      <c r="D23" s="8"/>
      <c r="E23" s="8"/>
      <c r="F23" s="8"/>
      <c r="G23" s="8"/>
    </row>
    <row r="24" spans="1:7" x14ac:dyDescent="0.4">
      <c r="A24" s="8" t="s">
        <v>54</v>
      </c>
      <c r="B24" s="14">
        <v>850000</v>
      </c>
      <c r="C24" s="8"/>
      <c r="D24" s="8"/>
      <c r="E24" s="8"/>
      <c r="F24" s="8"/>
      <c r="G24" s="8"/>
    </row>
    <row r="25" spans="1:7" x14ac:dyDescent="0.4">
      <c r="A25" s="8" t="s">
        <v>55</v>
      </c>
      <c r="B25" s="14">
        <v>95000</v>
      </c>
      <c r="C25" s="8"/>
      <c r="D25" s="8"/>
      <c r="E25" s="8"/>
      <c r="F25" s="8"/>
      <c r="G25" s="8"/>
    </row>
    <row r="26" spans="1:7" x14ac:dyDescent="0.4">
      <c r="A26" s="19" t="s">
        <v>56</v>
      </c>
      <c r="B26" s="21">
        <f>$B$23+$B$24-$B$25</f>
        <v>875000</v>
      </c>
      <c r="C26" s="17" t="s">
        <v>57</v>
      </c>
      <c r="D26" s="8"/>
      <c r="E26" s="8"/>
      <c r="F26" s="8"/>
      <c r="G26" s="8"/>
    </row>
    <row r="27" spans="1:7" x14ac:dyDescent="0.4">
      <c r="A27" s="8" t="s">
        <v>58</v>
      </c>
      <c r="B27" s="16">
        <f>$B$24+($B$23-$B$25)</f>
        <v>875000</v>
      </c>
      <c r="C27" s="17" t="s">
        <v>59</v>
      </c>
      <c r="D27" s="8"/>
      <c r="E27" s="8"/>
      <c r="F27" s="8"/>
      <c r="G27" s="8"/>
    </row>
    <row r="29" spans="1:7" x14ac:dyDescent="0.4">
      <c r="A29" s="11" t="s">
        <v>60</v>
      </c>
      <c r="B29" s="12"/>
      <c r="C29" s="12"/>
      <c r="D29" s="12"/>
      <c r="E29" s="12"/>
      <c r="F29" s="12"/>
      <c r="G29" s="12"/>
    </row>
    <row r="30" spans="1:7" x14ac:dyDescent="0.4">
      <c r="A30" s="13" t="s">
        <v>29</v>
      </c>
      <c r="B30" s="13" t="s">
        <v>30</v>
      </c>
      <c r="C30" s="13" t="s">
        <v>31</v>
      </c>
    </row>
    <row r="31" spans="1:7" x14ac:dyDescent="0.4">
      <c r="A31" s="8" t="s">
        <v>61</v>
      </c>
      <c r="B31" s="14">
        <v>500000</v>
      </c>
      <c r="C31" s="8"/>
      <c r="D31" s="8"/>
      <c r="E31" s="8"/>
      <c r="F31" s="8"/>
      <c r="G31" s="8"/>
    </row>
    <row r="32" spans="1:7" x14ac:dyDescent="0.4">
      <c r="A32" s="8" t="s">
        <v>62</v>
      </c>
      <c r="B32" s="14">
        <v>50000</v>
      </c>
      <c r="C32" s="8"/>
      <c r="D32" s="8"/>
      <c r="E32" s="8"/>
      <c r="F32" s="8"/>
      <c r="G32" s="8"/>
    </row>
    <row r="33" spans="1:7" x14ac:dyDescent="0.4">
      <c r="A33" s="8" t="s">
        <v>63</v>
      </c>
      <c r="B33" s="22">
        <v>5</v>
      </c>
      <c r="C33" s="8"/>
      <c r="D33" s="8"/>
      <c r="E33" s="8"/>
      <c r="F33" s="8"/>
      <c r="G33" s="8"/>
    </row>
    <row r="34" spans="1:7" x14ac:dyDescent="0.4">
      <c r="A34" s="8" t="s">
        <v>64</v>
      </c>
      <c r="B34" s="15">
        <v>0.2</v>
      </c>
      <c r="C34" s="8"/>
      <c r="D34" s="8"/>
      <c r="E34" s="8"/>
      <c r="F34" s="8"/>
      <c r="G34" s="8"/>
    </row>
    <row r="35" spans="1:7" x14ac:dyDescent="0.4">
      <c r="A35" s="19" t="s">
        <v>65</v>
      </c>
      <c r="B35" s="21">
        <f>($B$31-$B$32)/$B$33</f>
        <v>90000</v>
      </c>
      <c r="C35" s="17" t="s">
        <v>66</v>
      </c>
      <c r="D35" s="8"/>
      <c r="E35" s="8"/>
      <c r="F35" s="8"/>
      <c r="G35" s="8"/>
    </row>
    <row r="37" spans="1:7" x14ac:dyDescent="0.4">
      <c r="A37" s="13" t="s">
        <v>67</v>
      </c>
      <c r="B37" s="13" t="s">
        <v>68</v>
      </c>
      <c r="C37" s="13" t="s">
        <v>69</v>
      </c>
      <c r="D37" s="13" t="s">
        <v>70</v>
      </c>
      <c r="E37" s="13" t="s">
        <v>71</v>
      </c>
      <c r="F37" s="13" t="s">
        <v>72</v>
      </c>
    </row>
    <row r="38" spans="1:7" x14ac:dyDescent="0.4">
      <c r="A38" s="23">
        <v>1</v>
      </c>
      <c r="B38" s="16">
        <f>$B$35</f>
        <v>90000</v>
      </c>
      <c r="C38" s="16">
        <f>$B$31-$B$35*A38</f>
        <v>410000</v>
      </c>
      <c r="D38" s="16">
        <f>$B$31</f>
        <v>500000</v>
      </c>
      <c r="E38" s="16">
        <f>D38*$B$34</f>
        <v>100000</v>
      </c>
      <c r="F38" s="16">
        <f>D38-E38</f>
        <v>400000</v>
      </c>
    </row>
    <row r="39" spans="1:7" x14ac:dyDescent="0.4">
      <c r="A39" s="23">
        <v>2</v>
      </c>
      <c r="B39" s="16">
        <f>$B$35</f>
        <v>90000</v>
      </c>
      <c r="C39" s="16">
        <f>$B$31-$B$35*A39</f>
        <v>320000</v>
      </c>
      <c r="D39" s="16">
        <f>F38</f>
        <v>400000</v>
      </c>
      <c r="E39" s="16">
        <f>D39*$B$34</f>
        <v>80000</v>
      </c>
      <c r="F39" s="16">
        <f>D39-E39</f>
        <v>320000</v>
      </c>
    </row>
    <row r="40" spans="1:7" x14ac:dyDescent="0.4">
      <c r="A40" s="23">
        <v>3</v>
      </c>
      <c r="B40" s="16">
        <f>$B$35</f>
        <v>90000</v>
      </c>
      <c r="C40" s="16">
        <f>$B$31-$B$35*A40</f>
        <v>230000</v>
      </c>
      <c r="D40" s="16">
        <f>F39</f>
        <v>320000</v>
      </c>
      <c r="E40" s="16">
        <f>D40*$B$34</f>
        <v>64000</v>
      </c>
      <c r="F40" s="16">
        <f>D40-E40</f>
        <v>256000</v>
      </c>
    </row>
    <row r="41" spans="1:7" x14ac:dyDescent="0.4">
      <c r="A41" s="23">
        <v>4</v>
      </c>
      <c r="B41" s="16">
        <f>$B$35</f>
        <v>90000</v>
      </c>
      <c r="C41" s="16">
        <f>$B$31-$B$35*A41</f>
        <v>140000</v>
      </c>
      <c r="D41" s="16">
        <f>F40</f>
        <v>256000</v>
      </c>
      <c r="E41" s="16">
        <f>D41*$B$34</f>
        <v>51200</v>
      </c>
      <c r="F41" s="16">
        <f>D41-E41</f>
        <v>204800</v>
      </c>
    </row>
    <row r="42" spans="1:7" x14ac:dyDescent="0.4">
      <c r="A42" s="23">
        <v>5</v>
      </c>
      <c r="B42" s="16">
        <f>$B$35</f>
        <v>90000</v>
      </c>
      <c r="C42" s="16">
        <f>$B$31-$B$35*A42</f>
        <v>50000</v>
      </c>
      <c r="D42" s="16">
        <f>F41</f>
        <v>204800</v>
      </c>
      <c r="E42" s="16">
        <f>D42*$B$34</f>
        <v>40960</v>
      </c>
      <c r="F42" s="16">
        <f>D42-E42</f>
        <v>163840</v>
      </c>
    </row>
    <row r="43" spans="1:7" x14ac:dyDescent="0.4">
      <c r="A43" s="19" t="s">
        <v>73</v>
      </c>
      <c r="B43" s="21">
        <f>SUM(B38:B42)</f>
        <v>450000</v>
      </c>
      <c r="C43" s="24"/>
      <c r="D43" s="24"/>
      <c r="E43" s="21">
        <f>SUM(E38:E42)</f>
        <v>336160</v>
      </c>
      <c r="F43" s="24"/>
    </row>
    <row r="44" spans="1:7" x14ac:dyDescent="0.4">
      <c r="A44" s="2" t="s">
        <v>74</v>
      </c>
    </row>
  </sheetData>
  <mergeCells count="1">
    <mergeCell ref="A4:G4"/>
  </mergeCells>
  <hyperlinks>
    <hyperlink ref="A2" location="'Oversikt'!A1" display="‹ Til oversikten"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7"/>
  <sheetViews>
    <sheetView showGridLines="0" workbookViewId="0"/>
  </sheetViews>
  <sheetFormatPr defaultRowHeight="14.6" x14ac:dyDescent="0.4"/>
  <cols>
    <col min="1" max="1" width="34" customWidth="1"/>
    <col min="2" max="10" width="13" customWidth="1"/>
  </cols>
  <sheetData>
    <row r="1" spans="1:10" ht="30" customHeight="1" x14ac:dyDescent="0.55000000000000004">
      <c r="A1" s="9" t="s">
        <v>75</v>
      </c>
    </row>
    <row r="2" spans="1:10" x14ac:dyDescent="0.4">
      <c r="A2" s="10" t="s">
        <v>26</v>
      </c>
    </row>
    <row r="4" spans="1:10" ht="87" customHeight="1" x14ac:dyDescent="0.4">
      <c r="A4" s="37" t="s">
        <v>76</v>
      </c>
      <c r="B4" s="38"/>
      <c r="C4" s="38"/>
      <c r="D4" s="38"/>
      <c r="E4" s="38"/>
      <c r="F4" s="38"/>
      <c r="G4" s="38"/>
      <c r="H4" s="38"/>
      <c r="I4" s="38"/>
      <c r="J4" s="38"/>
    </row>
    <row r="6" spans="1:10" x14ac:dyDescent="0.4">
      <c r="A6" s="11" t="s">
        <v>77</v>
      </c>
      <c r="B6" s="12"/>
      <c r="C6" s="12"/>
      <c r="D6" s="12"/>
      <c r="E6" s="12"/>
      <c r="F6" s="12"/>
      <c r="G6" s="12"/>
      <c r="H6" s="12"/>
      <c r="I6" s="12"/>
      <c r="J6" s="12"/>
    </row>
    <row r="7" spans="1:10" x14ac:dyDescent="0.4">
      <c r="A7" s="13" t="s">
        <v>29</v>
      </c>
      <c r="B7" s="13" t="s">
        <v>30</v>
      </c>
      <c r="C7" s="13" t="s">
        <v>78</v>
      </c>
    </row>
    <row r="8" spans="1:10" x14ac:dyDescent="0.4">
      <c r="A8" s="8" t="s">
        <v>79</v>
      </c>
      <c r="B8" s="14">
        <v>3000</v>
      </c>
      <c r="C8" s="8"/>
      <c r="D8" s="8"/>
      <c r="E8" s="8"/>
      <c r="F8" s="8"/>
      <c r="G8" s="8"/>
      <c r="H8" s="8"/>
      <c r="I8" s="8"/>
      <c r="J8" s="8"/>
    </row>
    <row r="9" spans="1:10" x14ac:dyDescent="0.4">
      <c r="A9" s="8" t="s">
        <v>80</v>
      </c>
      <c r="B9" s="14">
        <v>1400</v>
      </c>
      <c r="C9" s="25" t="s">
        <v>81</v>
      </c>
      <c r="D9" s="8"/>
      <c r="E9" s="8"/>
      <c r="F9" s="8"/>
      <c r="G9" s="8"/>
      <c r="H9" s="8"/>
      <c r="I9" s="8"/>
      <c r="J9" s="8"/>
    </row>
    <row r="10" spans="1:10" x14ac:dyDescent="0.4">
      <c r="A10" s="8" t="s">
        <v>82</v>
      </c>
      <c r="B10" s="14">
        <v>60</v>
      </c>
      <c r="C10" s="8"/>
      <c r="D10" s="8"/>
      <c r="E10" s="8"/>
      <c r="F10" s="8"/>
      <c r="G10" s="8"/>
      <c r="H10" s="8"/>
      <c r="I10" s="8"/>
      <c r="J10" s="8"/>
    </row>
    <row r="12" spans="1:10" x14ac:dyDescent="0.4">
      <c r="A12" s="11" t="s">
        <v>83</v>
      </c>
      <c r="B12" s="12"/>
      <c r="C12" s="12"/>
      <c r="D12" s="12"/>
      <c r="E12" s="12"/>
      <c r="F12" s="12"/>
      <c r="G12" s="12"/>
      <c r="H12" s="12"/>
      <c r="I12" s="12"/>
      <c r="J12" s="12"/>
    </row>
    <row r="13" spans="1:10" x14ac:dyDescent="0.4">
      <c r="A13" s="13" t="s">
        <v>84</v>
      </c>
      <c r="B13" s="13" t="s">
        <v>85</v>
      </c>
      <c r="C13" s="13" t="s">
        <v>86</v>
      </c>
      <c r="D13" s="13" t="s">
        <v>87</v>
      </c>
      <c r="E13" s="13" t="s">
        <v>88</v>
      </c>
      <c r="F13" s="13" t="s">
        <v>89</v>
      </c>
      <c r="G13" s="13" t="s">
        <v>90</v>
      </c>
      <c r="H13" s="13" t="s">
        <v>91</v>
      </c>
      <c r="I13" s="13" t="s">
        <v>92</v>
      </c>
      <c r="J13" s="13" t="s">
        <v>93</v>
      </c>
    </row>
    <row r="14" spans="1:10" x14ac:dyDescent="0.4">
      <c r="A14" s="26">
        <v>0</v>
      </c>
      <c r="B14" s="16">
        <f t="shared" ref="B14:B26" si="0">$B$8</f>
        <v>3000</v>
      </c>
      <c r="C14" s="14">
        <v>0</v>
      </c>
      <c r="D14" s="16">
        <f t="shared" ref="D14:D26" si="1">B14+C14</f>
        <v>3000</v>
      </c>
      <c r="E14" s="27" t="str">
        <f t="shared" ref="E14:E26" si="2">IF(A14=0,"",D14/A14)</f>
        <v/>
      </c>
      <c r="F14" s="16"/>
      <c r="G14" s="16">
        <f t="shared" ref="G14:G26" si="3">$B$9-$B$10*A14</f>
        <v>1400</v>
      </c>
      <c r="H14" s="16">
        <f t="shared" ref="H14:H26" si="4">G14*A14</f>
        <v>0</v>
      </c>
      <c r="I14" s="16"/>
      <c r="J14" s="16">
        <f t="shared" ref="J14:J26" si="5">H14-D14</f>
        <v>-3000</v>
      </c>
    </row>
    <row r="15" spans="1:10" x14ac:dyDescent="0.4">
      <c r="A15" s="26">
        <v>1</v>
      </c>
      <c r="B15" s="16">
        <f t="shared" si="0"/>
        <v>3000</v>
      </c>
      <c r="C15" s="14">
        <v>500</v>
      </c>
      <c r="D15" s="16">
        <f t="shared" si="1"/>
        <v>3500</v>
      </c>
      <c r="E15" s="27">
        <f t="shared" si="2"/>
        <v>3500</v>
      </c>
      <c r="F15" s="16">
        <f t="shared" ref="F15:F26" si="6">(D15-D14)/(A15-A14)</f>
        <v>500</v>
      </c>
      <c r="G15" s="16">
        <f t="shared" si="3"/>
        <v>1340</v>
      </c>
      <c r="H15" s="16">
        <f t="shared" si="4"/>
        <v>1340</v>
      </c>
      <c r="I15" s="16">
        <f t="shared" ref="I15:I26" si="7">(H15-H14)/(A15-A14)</f>
        <v>1340</v>
      </c>
      <c r="J15" s="16">
        <f t="shared" si="5"/>
        <v>-2160</v>
      </c>
    </row>
    <row r="16" spans="1:10" x14ac:dyDescent="0.4">
      <c r="A16" s="26">
        <v>2</v>
      </c>
      <c r="B16" s="16">
        <f t="shared" si="0"/>
        <v>3000</v>
      </c>
      <c r="C16" s="14">
        <v>900</v>
      </c>
      <c r="D16" s="16">
        <f t="shared" si="1"/>
        <v>3900</v>
      </c>
      <c r="E16" s="27">
        <f t="shared" si="2"/>
        <v>1950</v>
      </c>
      <c r="F16" s="16">
        <f t="shared" si="6"/>
        <v>400</v>
      </c>
      <c r="G16" s="16">
        <f t="shared" si="3"/>
        <v>1280</v>
      </c>
      <c r="H16" s="16">
        <f t="shared" si="4"/>
        <v>2560</v>
      </c>
      <c r="I16" s="16">
        <f t="shared" si="7"/>
        <v>1220</v>
      </c>
      <c r="J16" s="16">
        <f t="shared" si="5"/>
        <v>-1340</v>
      </c>
    </row>
    <row r="17" spans="1:10" x14ac:dyDescent="0.4">
      <c r="A17" s="26">
        <v>3</v>
      </c>
      <c r="B17" s="16">
        <f t="shared" si="0"/>
        <v>3000</v>
      </c>
      <c r="C17" s="14">
        <v>1200</v>
      </c>
      <c r="D17" s="16">
        <f t="shared" si="1"/>
        <v>4200</v>
      </c>
      <c r="E17" s="27">
        <f t="shared" si="2"/>
        <v>1400</v>
      </c>
      <c r="F17" s="16">
        <f t="shared" si="6"/>
        <v>300</v>
      </c>
      <c r="G17" s="16">
        <f t="shared" si="3"/>
        <v>1220</v>
      </c>
      <c r="H17" s="16">
        <f t="shared" si="4"/>
        <v>3660</v>
      </c>
      <c r="I17" s="16">
        <f t="shared" si="7"/>
        <v>1100</v>
      </c>
      <c r="J17" s="16">
        <f t="shared" si="5"/>
        <v>-540</v>
      </c>
    </row>
    <row r="18" spans="1:10" x14ac:dyDescent="0.4">
      <c r="A18" s="26">
        <v>4</v>
      </c>
      <c r="B18" s="16">
        <f t="shared" si="0"/>
        <v>3000</v>
      </c>
      <c r="C18" s="14">
        <v>1450</v>
      </c>
      <c r="D18" s="16">
        <f t="shared" si="1"/>
        <v>4450</v>
      </c>
      <c r="E18" s="27">
        <f t="shared" si="2"/>
        <v>1112.5</v>
      </c>
      <c r="F18" s="16">
        <f t="shared" si="6"/>
        <v>250</v>
      </c>
      <c r="G18" s="16">
        <f t="shared" si="3"/>
        <v>1160</v>
      </c>
      <c r="H18" s="16">
        <f t="shared" si="4"/>
        <v>4640</v>
      </c>
      <c r="I18" s="16">
        <f t="shared" si="7"/>
        <v>980</v>
      </c>
      <c r="J18" s="16">
        <f t="shared" si="5"/>
        <v>190</v>
      </c>
    </row>
    <row r="19" spans="1:10" x14ac:dyDescent="0.4">
      <c r="A19" s="26">
        <v>5</v>
      </c>
      <c r="B19" s="16">
        <f t="shared" si="0"/>
        <v>3000</v>
      </c>
      <c r="C19" s="14">
        <v>1700</v>
      </c>
      <c r="D19" s="16">
        <f t="shared" si="1"/>
        <v>4700</v>
      </c>
      <c r="E19" s="27">
        <f t="shared" si="2"/>
        <v>940</v>
      </c>
      <c r="F19" s="16">
        <f t="shared" si="6"/>
        <v>250</v>
      </c>
      <c r="G19" s="16">
        <f t="shared" si="3"/>
        <v>1100</v>
      </c>
      <c r="H19" s="16">
        <f t="shared" si="4"/>
        <v>5500</v>
      </c>
      <c r="I19" s="16">
        <f t="shared" si="7"/>
        <v>860</v>
      </c>
      <c r="J19" s="16">
        <f t="shared" si="5"/>
        <v>800</v>
      </c>
    </row>
    <row r="20" spans="1:10" x14ac:dyDescent="0.4">
      <c r="A20" s="26">
        <v>6</v>
      </c>
      <c r="B20" s="16">
        <f t="shared" si="0"/>
        <v>3000</v>
      </c>
      <c r="C20" s="14">
        <v>2000</v>
      </c>
      <c r="D20" s="16">
        <f t="shared" si="1"/>
        <v>5000</v>
      </c>
      <c r="E20" s="27">
        <f t="shared" si="2"/>
        <v>833.33333333333337</v>
      </c>
      <c r="F20" s="16">
        <f t="shared" si="6"/>
        <v>300</v>
      </c>
      <c r="G20" s="16">
        <f t="shared" si="3"/>
        <v>1040</v>
      </c>
      <c r="H20" s="16">
        <f t="shared" si="4"/>
        <v>6240</v>
      </c>
      <c r="I20" s="16">
        <f t="shared" si="7"/>
        <v>740</v>
      </c>
      <c r="J20" s="16">
        <f t="shared" si="5"/>
        <v>1240</v>
      </c>
    </row>
    <row r="21" spans="1:10" x14ac:dyDescent="0.4">
      <c r="A21" s="26">
        <v>7</v>
      </c>
      <c r="B21" s="16">
        <f t="shared" si="0"/>
        <v>3000</v>
      </c>
      <c r="C21" s="14">
        <v>2400</v>
      </c>
      <c r="D21" s="16">
        <f t="shared" si="1"/>
        <v>5400</v>
      </c>
      <c r="E21" s="27">
        <f t="shared" si="2"/>
        <v>771.42857142857144</v>
      </c>
      <c r="F21" s="16">
        <f t="shared" si="6"/>
        <v>400</v>
      </c>
      <c r="G21" s="16">
        <f t="shared" si="3"/>
        <v>980</v>
      </c>
      <c r="H21" s="16">
        <f t="shared" si="4"/>
        <v>6860</v>
      </c>
      <c r="I21" s="16">
        <f t="shared" si="7"/>
        <v>620</v>
      </c>
      <c r="J21" s="16">
        <f t="shared" si="5"/>
        <v>1460</v>
      </c>
    </row>
    <row r="22" spans="1:10" x14ac:dyDescent="0.4">
      <c r="A22" s="26">
        <v>8</v>
      </c>
      <c r="B22" s="16">
        <f t="shared" si="0"/>
        <v>3000</v>
      </c>
      <c r="C22" s="14">
        <v>2950</v>
      </c>
      <c r="D22" s="16">
        <f t="shared" si="1"/>
        <v>5950</v>
      </c>
      <c r="E22" s="27">
        <f t="shared" si="2"/>
        <v>743.75</v>
      </c>
      <c r="F22" s="16">
        <f t="shared" si="6"/>
        <v>550</v>
      </c>
      <c r="G22" s="16">
        <f t="shared" si="3"/>
        <v>920</v>
      </c>
      <c r="H22" s="16">
        <f t="shared" si="4"/>
        <v>7360</v>
      </c>
      <c r="I22" s="16">
        <f t="shared" si="7"/>
        <v>500</v>
      </c>
      <c r="J22" s="16">
        <f t="shared" si="5"/>
        <v>1410</v>
      </c>
    </row>
    <row r="23" spans="1:10" x14ac:dyDescent="0.4">
      <c r="A23" s="26">
        <v>9</v>
      </c>
      <c r="B23" s="16">
        <f t="shared" si="0"/>
        <v>3000</v>
      </c>
      <c r="C23" s="14">
        <v>3650</v>
      </c>
      <c r="D23" s="16">
        <f t="shared" si="1"/>
        <v>6650</v>
      </c>
      <c r="E23" s="27">
        <f t="shared" si="2"/>
        <v>738.88888888888891</v>
      </c>
      <c r="F23" s="16">
        <f t="shared" si="6"/>
        <v>700</v>
      </c>
      <c r="G23" s="16">
        <f t="shared" si="3"/>
        <v>860</v>
      </c>
      <c r="H23" s="16">
        <f t="shared" si="4"/>
        <v>7740</v>
      </c>
      <c r="I23" s="16">
        <f t="shared" si="7"/>
        <v>380</v>
      </c>
      <c r="J23" s="16">
        <f t="shared" si="5"/>
        <v>1090</v>
      </c>
    </row>
    <row r="24" spans="1:10" x14ac:dyDescent="0.4">
      <c r="A24" s="26">
        <v>10</v>
      </c>
      <c r="B24" s="16">
        <f t="shared" si="0"/>
        <v>3000</v>
      </c>
      <c r="C24" s="14">
        <v>4550</v>
      </c>
      <c r="D24" s="16">
        <f t="shared" si="1"/>
        <v>7550</v>
      </c>
      <c r="E24" s="27">
        <f t="shared" si="2"/>
        <v>755</v>
      </c>
      <c r="F24" s="16">
        <f t="shared" si="6"/>
        <v>900</v>
      </c>
      <c r="G24" s="16">
        <f t="shared" si="3"/>
        <v>800</v>
      </c>
      <c r="H24" s="16">
        <f t="shared" si="4"/>
        <v>8000</v>
      </c>
      <c r="I24" s="16">
        <f t="shared" si="7"/>
        <v>260</v>
      </c>
      <c r="J24" s="16">
        <f t="shared" si="5"/>
        <v>450</v>
      </c>
    </row>
    <row r="25" spans="1:10" x14ac:dyDescent="0.4">
      <c r="A25" s="26">
        <v>11</v>
      </c>
      <c r="B25" s="16">
        <f t="shared" si="0"/>
        <v>3000</v>
      </c>
      <c r="C25" s="14">
        <v>5700</v>
      </c>
      <c r="D25" s="16">
        <f t="shared" si="1"/>
        <v>8700</v>
      </c>
      <c r="E25" s="27">
        <f t="shared" si="2"/>
        <v>790.90909090909088</v>
      </c>
      <c r="F25" s="16">
        <f t="shared" si="6"/>
        <v>1150</v>
      </c>
      <c r="G25" s="16">
        <f t="shared" si="3"/>
        <v>740</v>
      </c>
      <c r="H25" s="16">
        <f t="shared" si="4"/>
        <v>8140</v>
      </c>
      <c r="I25" s="16">
        <f t="shared" si="7"/>
        <v>140</v>
      </c>
      <c r="J25" s="16">
        <f t="shared" si="5"/>
        <v>-560</v>
      </c>
    </row>
    <row r="26" spans="1:10" x14ac:dyDescent="0.4">
      <c r="A26" s="26">
        <v>12</v>
      </c>
      <c r="B26" s="16">
        <f t="shared" si="0"/>
        <v>3000</v>
      </c>
      <c r="C26" s="14">
        <v>7150</v>
      </c>
      <c r="D26" s="16">
        <f t="shared" si="1"/>
        <v>10150</v>
      </c>
      <c r="E26" s="27">
        <f t="shared" si="2"/>
        <v>845.83333333333337</v>
      </c>
      <c r="F26" s="16">
        <f t="shared" si="6"/>
        <v>1450</v>
      </c>
      <c r="G26" s="16">
        <f t="shared" si="3"/>
        <v>680</v>
      </c>
      <c r="H26" s="16">
        <f t="shared" si="4"/>
        <v>8160</v>
      </c>
      <c r="I26" s="16">
        <f t="shared" si="7"/>
        <v>20</v>
      </c>
      <c r="J26" s="16">
        <f t="shared" si="5"/>
        <v>-1990</v>
      </c>
    </row>
    <row r="27" spans="1:10" x14ac:dyDescent="0.4">
      <c r="A27" s="2" t="s">
        <v>94</v>
      </c>
    </row>
    <row r="29" spans="1:10" x14ac:dyDescent="0.4">
      <c r="A29" s="11" t="s">
        <v>6</v>
      </c>
      <c r="B29" s="12"/>
      <c r="C29" s="12"/>
      <c r="D29" s="12"/>
      <c r="E29" s="12"/>
      <c r="F29" s="12"/>
      <c r="G29" s="12"/>
      <c r="H29" s="12"/>
      <c r="I29" s="12"/>
      <c r="J29" s="12"/>
    </row>
    <row r="30" spans="1:10" x14ac:dyDescent="0.4">
      <c r="A30" s="13" t="s">
        <v>29</v>
      </c>
      <c r="B30" s="13" t="s">
        <v>30</v>
      </c>
      <c r="C30" s="13" t="s">
        <v>95</v>
      </c>
    </row>
    <row r="31" spans="1:10" x14ac:dyDescent="0.4">
      <c r="A31" s="19" t="s">
        <v>96</v>
      </c>
      <c r="B31" s="28">
        <f>INDEX($A$14:$A$26,MATCH(MIN($E$14:$E$26),$E$14:$E$26,0))</f>
        <v>9</v>
      </c>
      <c r="C31" s="17" t="s">
        <v>97</v>
      </c>
      <c r="D31" s="8"/>
      <c r="E31" s="8"/>
      <c r="F31" s="8"/>
      <c r="G31" s="8"/>
      <c r="H31" s="8"/>
      <c r="I31" s="8"/>
      <c r="J31" s="8"/>
    </row>
    <row r="32" spans="1:10" x14ac:dyDescent="0.4">
      <c r="A32" s="8" t="s">
        <v>98</v>
      </c>
      <c r="B32" s="27">
        <f>MIN($E$14:$E$26)</f>
        <v>738.88888888888891</v>
      </c>
      <c r="C32" s="17" t="s">
        <v>99</v>
      </c>
      <c r="D32" s="8"/>
      <c r="E32" s="8"/>
      <c r="F32" s="8"/>
      <c r="G32" s="8"/>
      <c r="H32" s="8"/>
      <c r="I32" s="8"/>
      <c r="J32" s="8"/>
    </row>
    <row r="33" spans="1:10" x14ac:dyDescent="0.4">
      <c r="A33" s="19" t="s">
        <v>100</v>
      </c>
      <c r="B33" s="28">
        <f>INDEX($A$14:$A$26,MATCH(MAX($J$14:$J$26),$J$14:$J$26,0))</f>
        <v>7</v>
      </c>
      <c r="C33" s="17" t="s">
        <v>101</v>
      </c>
      <c r="D33" s="8"/>
      <c r="E33" s="8"/>
      <c r="F33" s="8"/>
      <c r="G33" s="8"/>
      <c r="H33" s="8"/>
      <c r="I33" s="8"/>
      <c r="J33" s="8"/>
    </row>
    <row r="34" spans="1:10" x14ac:dyDescent="0.4">
      <c r="A34" s="8" t="s">
        <v>102</v>
      </c>
      <c r="B34" s="16">
        <f>$B$9-$B$10*$B$33</f>
        <v>980</v>
      </c>
      <c r="C34" s="17" t="s">
        <v>103</v>
      </c>
      <c r="D34" s="8"/>
      <c r="E34" s="8"/>
      <c r="F34" s="8"/>
      <c r="G34" s="8"/>
      <c r="H34" s="8"/>
      <c r="I34" s="8"/>
      <c r="J34" s="8"/>
    </row>
    <row r="35" spans="1:10" x14ac:dyDescent="0.4">
      <c r="A35" s="8" t="s">
        <v>104</v>
      </c>
      <c r="B35" s="27">
        <f>INDEX($E$14:$E$26,MATCH($B$33,$A$14:$A$26,0))</f>
        <v>771.42857142857144</v>
      </c>
      <c r="C35" s="8"/>
      <c r="D35" s="8"/>
      <c r="E35" s="8"/>
      <c r="F35" s="8"/>
      <c r="G35" s="8"/>
      <c r="H35" s="8"/>
      <c r="I35" s="8"/>
      <c r="J35" s="8"/>
    </row>
    <row r="36" spans="1:10" x14ac:dyDescent="0.4">
      <c r="A36" s="19" t="s">
        <v>105</v>
      </c>
      <c r="B36" s="21">
        <f>($B$34-$B$35)*$B$33</f>
        <v>1460</v>
      </c>
      <c r="C36" s="17" t="s">
        <v>106</v>
      </c>
      <c r="D36" s="8"/>
      <c r="E36" s="8"/>
      <c r="F36" s="8"/>
      <c r="G36" s="8"/>
      <c r="H36" s="8"/>
      <c r="I36" s="8"/>
      <c r="J36" s="8"/>
    </row>
    <row r="37" spans="1:10" x14ac:dyDescent="0.4">
      <c r="A37" s="8" t="s">
        <v>107</v>
      </c>
      <c r="B37" s="16">
        <f>$B$8+($B$34-$B$35)*$B$33</f>
        <v>4460</v>
      </c>
      <c r="C37" s="17" t="s">
        <v>108</v>
      </c>
      <c r="D37" s="8"/>
      <c r="E37" s="8"/>
      <c r="F37" s="8"/>
      <c r="G37" s="8"/>
      <c r="H37" s="8"/>
      <c r="I37" s="8"/>
      <c r="J37" s="8"/>
    </row>
    <row r="39" spans="1:10" x14ac:dyDescent="0.4">
      <c r="A39" s="11" t="s">
        <v>109</v>
      </c>
      <c r="B39" s="12"/>
      <c r="C39" s="12"/>
      <c r="D39" s="12"/>
      <c r="E39" s="12"/>
      <c r="F39" s="12"/>
      <c r="G39" s="12"/>
      <c r="H39" s="12"/>
      <c r="I39" s="12"/>
      <c r="J39" s="12"/>
    </row>
    <row r="40" spans="1:10" x14ac:dyDescent="0.4">
      <c r="A40" s="13" t="s">
        <v>29</v>
      </c>
      <c r="B40" s="13" t="s">
        <v>30</v>
      </c>
      <c r="C40" s="13" t="s">
        <v>110</v>
      </c>
    </row>
    <row r="41" spans="1:10" x14ac:dyDescent="0.4">
      <c r="A41" s="8" t="s">
        <v>111</v>
      </c>
      <c r="B41" s="14">
        <v>100</v>
      </c>
      <c r="C41" s="8"/>
      <c r="D41" s="8"/>
      <c r="E41" s="8"/>
      <c r="F41" s="8"/>
      <c r="G41" s="8"/>
      <c r="H41" s="8"/>
      <c r="I41" s="8"/>
      <c r="J41" s="8"/>
    </row>
    <row r="42" spans="1:10" x14ac:dyDescent="0.4">
      <c r="A42" s="8" t="s">
        <v>112</v>
      </c>
      <c r="B42" s="14">
        <v>90</v>
      </c>
      <c r="C42" s="8"/>
      <c r="D42" s="8"/>
      <c r="E42" s="8"/>
      <c r="F42" s="8"/>
      <c r="G42" s="8"/>
      <c r="H42" s="8"/>
      <c r="I42" s="8"/>
      <c r="J42" s="8"/>
    </row>
    <row r="43" spans="1:10" x14ac:dyDescent="0.4">
      <c r="A43" s="8" t="s">
        <v>113</v>
      </c>
      <c r="B43" s="22">
        <v>1000</v>
      </c>
      <c r="C43" s="8"/>
      <c r="D43" s="8"/>
      <c r="E43" s="8"/>
      <c r="F43" s="8"/>
      <c r="G43" s="8"/>
      <c r="H43" s="8"/>
      <c r="I43" s="8"/>
      <c r="J43" s="8"/>
    </row>
    <row r="44" spans="1:10" x14ac:dyDescent="0.4">
      <c r="A44" s="8" t="s">
        <v>114</v>
      </c>
      <c r="B44" s="22">
        <v>1200</v>
      </c>
      <c r="C44" s="8"/>
      <c r="D44" s="8"/>
      <c r="E44" s="8"/>
      <c r="F44" s="8"/>
      <c r="G44" s="8"/>
      <c r="H44" s="8"/>
      <c r="I44" s="8"/>
      <c r="J44" s="8"/>
    </row>
    <row r="45" spans="1:10" x14ac:dyDescent="0.4">
      <c r="A45" s="19" t="s">
        <v>115</v>
      </c>
      <c r="B45" s="29">
        <f>(($B$44-$B$43)/MIN($B$43,$B$44))/(($B$42-$B$41)/MIN($B$41,$B$42))</f>
        <v>-1.8000000000000003</v>
      </c>
      <c r="C45" s="17" t="s">
        <v>116</v>
      </c>
      <c r="D45" s="8"/>
      <c r="E45" s="8"/>
      <c r="F45" s="8"/>
      <c r="G45" s="8"/>
      <c r="H45" s="8"/>
      <c r="I45" s="8"/>
      <c r="J45" s="8"/>
    </row>
    <row r="46" spans="1:10" x14ac:dyDescent="0.4">
      <c r="A46" s="8" t="s">
        <v>117</v>
      </c>
      <c r="B46" s="8" t="str">
        <f>IF(ABS($B$45)&gt;1,"Elastisk",IF(ABS($B$45)&lt;1,"Uelastisk","Nøytralelastisk"))</f>
        <v>Elastisk</v>
      </c>
      <c r="C46" s="17" t="s">
        <v>118</v>
      </c>
      <c r="D46" s="8"/>
      <c r="E46" s="8"/>
      <c r="F46" s="8"/>
      <c r="G46" s="8"/>
      <c r="H46" s="8"/>
      <c r="I46" s="8"/>
      <c r="J46" s="8"/>
    </row>
    <row r="47" spans="1:10" x14ac:dyDescent="0.4">
      <c r="A47" s="8" t="s">
        <v>119</v>
      </c>
      <c r="B47" s="16">
        <f>$B$42*$B$44-$B$41*$B$43</f>
        <v>8000</v>
      </c>
      <c r="C47" s="17" t="s">
        <v>120</v>
      </c>
      <c r="D47" s="8"/>
      <c r="E47" s="8"/>
      <c r="F47" s="8"/>
      <c r="G47" s="8"/>
      <c r="H47" s="8"/>
      <c r="I47" s="8"/>
      <c r="J47" s="8"/>
    </row>
  </sheetData>
  <mergeCells count="1">
    <mergeCell ref="A4:J4"/>
  </mergeCells>
  <hyperlinks>
    <hyperlink ref="A2" location="'Oversikt'!A1" display="‹ Til oversikten"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workbookViewId="0"/>
  </sheetViews>
  <sheetFormatPr defaultRowHeight="14.6" x14ac:dyDescent="0.4"/>
  <cols>
    <col min="1" max="1" width="46" customWidth="1"/>
    <col min="2" max="7" width="16" customWidth="1"/>
  </cols>
  <sheetData>
    <row r="1" spans="1:7" ht="30" customHeight="1" x14ac:dyDescent="0.55000000000000004">
      <c r="A1" s="9" t="s">
        <v>121</v>
      </c>
    </row>
    <row r="2" spans="1:7" x14ac:dyDescent="0.4">
      <c r="A2" s="10" t="s">
        <v>26</v>
      </c>
    </row>
    <row r="4" spans="1:7" ht="114" customHeight="1" x14ac:dyDescent="0.4">
      <c r="A4" s="37" t="s">
        <v>122</v>
      </c>
      <c r="B4" s="38"/>
      <c r="C4" s="38"/>
      <c r="D4" s="38"/>
      <c r="E4" s="38"/>
      <c r="F4" s="38"/>
      <c r="G4" s="38"/>
    </row>
    <row r="6" spans="1:7" x14ac:dyDescent="0.4">
      <c r="A6" s="11" t="s">
        <v>123</v>
      </c>
      <c r="B6" s="12"/>
      <c r="C6" s="12"/>
      <c r="D6" s="12"/>
      <c r="E6" s="12"/>
      <c r="F6" s="12"/>
      <c r="G6" s="12"/>
    </row>
    <row r="7" spans="1:7" x14ac:dyDescent="0.4">
      <c r="A7" s="13" t="s">
        <v>29</v>
      </c>
      <c r="B7" s="13" t="s">
        <v>30</v>
      </c>
      <c r="C7" s="13" t="s">
        <v>124</v>
      </c>
    </row>
    <row r="8" spans="1:7" x14ac:dyDescent="0.4">
      <c r="A8" s="8" t="s">
        <v>125</v>
      </c>
      <c r="B8" s="14">
        <v>150000</v>
      </c>
      <c r="C8" s="8"/>
      <c r="D8" s="8"/>
      <c r="E8" s="8"/>
      <c r="F8" s="8"/>
      <c r="G8" s="8"/>
    </row>
    <row r="9" spans="1:7" x14ac:dyDescent="0.4">
      <c r="A9" s="8" t="s">
        <v>126</v>
      </c>
      <c r="B9" s="14">
        <v>1000000</v>
      </c>
      <c r="C9" s="8"/>
      <c r="D9" s="8"/>
      <c r="E9" s="8"/>
      <c r="F9" s="8"/>
      <c r="G9" s="8"/>
    </row>
    <row r="10" spans="1:7" x14ac:dyDescent="0.4">
      <c r="A10" s="8" t="s">
        <v>127</v>
      </c>
      <c r="B10" s="14">
        <v>900000</v>
      </c>
      <c r="C10" s="8"/>
      <c r="D10" s="8"/>
      <c r="E10" s="8"/>
      <c r="F10" s="8"/>
      <c r="G10" s="8"/>
    </row>
    <row r="11" spans="1:7" x14ac:dyDescent="0.4">
      <c r="A11" s="8" t="s">
        <v>128</v>
      </c>
      <c r="B11" s="14">
        <v>600000</v>
      </c>
      <c r="C11" s="8"/>
      <c r="D11" s="8"/>
      <c r="E11" s="8"/>
      <c r="F11" s="8"/>
      <c r="G11" s="8"/>
    </row>
    <row r="12" spans="1:7" x14ac:dyDescent="0.4">
      <c r="A12" s="8" t="s">
        <v>129</v>
      </c>
      <c r="B12" s="14">
        <v>540000</v>
      </c>
      <c r="C12" s="8"/>
      <c r="D12" s="8"/>
      <c r="E12" s="8"/>
      <c r="F12" s="8"/>
      <c r="G12" s="8"/>
    </row>
    <row r="13" spans="1:7" x14ac:dyDescent="0.4">
      <c r="A13" s="19" t="s">
        <v>130</v>
      </c>
      <c r="B13" s="30">
        <f>$B$8/$B$9</f>
        <v>0.15</v>
      </c>
      <c r="C13" s="17" t="s">
        <v>131</v>
      </c>
      <c r="D13" s="8"/>
      <c r="E13" s="8"/>
      <c r="F13" s="8"/>
      <c r="G13" s="8"/>
    </row>
    <row r="14" spans="1:7" x14ac:dyDescent="0.4">
      <c r="A14" s="19" t="s">
        <v>132</v>
      </c>
      <c r="B14" s="30">
        <f>$B$10/$B$11</f>
        <v>1.5</v>
      </c>
      <c r="C14" s="17" t="s">
        <v>133</v>
      </c>
      <c r="D14" s="8"/>
      <c r="E14" s="8"/>
      <c r="F14" s="8"/>
      <c r="G14" s="8"/>
    </row>
    <row r="15" spans="1:7" x14ac:dyDescent="0.4">
      <c r="A15" s="8" t="s">
        <v>134</v>
      </c>
      <c r="B15" s="16">
        <f>$B$9+$B$8+$B$11+$B$10</f>
        <v>2650000</v>
      </c>
      <c r="C15" s="17" t="s">
        <v>135</v>
      </c>
      <c r="D15" s="8"/>
      <c r="E15" s="8"/>
      <c r="F15" s="8"/>
      <c r="G15" s="8"/>
    </row>
    <row r="16" spans="1:7" x14ac:dyDescent="0.4">
      <c r="A16" s="19" t="s">
        <v>136</v>
      </c>
      <c r="B16" s="30">
        <f>$B$12/$B$15</f>
        <v>0.20377358490566039</v>
      </c>
      <c r="C16" s="17" t="s">
        <v>137</v>
      </c>
      <c r="D16" s="8"/>
      <c r="E16" s="8"/>
      <c r="F16" s="8"/>
      <c r="G16" s="8"/>
    </row>
    <row r="18" spans="1:7" x14ac:dyDescent="0.4">
      <c r="A18" s="11" t="s">
        <v>138</v>
      </c>
      <c r="B18" s="12"/>
      <c r="C18" s="12"/>
      <c r="D18" s="12"/>
      <c r="E18" s="12"/>
      <c r="F18" s="12"/>
      <c r="G18" s="12"/>
    </row>
    <row r="19" spans="1:7" x14ac:dyDescent="0.4">
      <c r="A19" s="13" t="s">
        <v>139</v>
      </c>
      <c r="B19" s="13" t="s">
        <v>140</v>
      </c>
      <c r="C19" s="13" t="s">
        <v>141</v>
      </c>
    </row>
    <row r="20" spans="1:7" x14ac:dyDescent="0.4">
      <c r="A20" s="8" t="s">
        <v>142</v>
      </c>
      <c r="B20" s="14">
        <v>2000</v>
      </c>
      <c r="C20" s="8"/>
      <c r="D20" s="8"/>
      <c r="E20" s="8"/>
      <c r="F20" s="8"/>
      <c r="G20" s="8"/>
    </row>
    <row r="21" spans="1:7" x14ac:dyDescent="0.4">
      <c r="A21" s="8" t="s">
        <v>143</v>
      </c>
      <c r="B21" s="14">
        <v>1200</v>
      </c>
      <c r="C21" s="8"/>
      <c r="D21" s="8"/>
      <c r="E21" s="8"/>
      <c r="F21" s="8"/>
      <c r="G21" s="8"/>
    </row>
    <row r="22" spans="1:7" x14ac:dyDescent="0.4">
      <c r="A22" s="8" t="s">
        <v>144</v>
      </c>
      <c r="B22" s="15">
        <v>0.15</v>
      </c>
      <c r="C22" s="8"/>
      <c r="D22" s="8"/>
      <c r="E22" s="8"/>
      <c r="F22" s="8"/>
      <c r="G22" s="8"/>
    </row>
    <row r="23" spans="1:7" x14ac:dyDescent="0.4">
      <c r="A23" s="8" t="s">
        <v>145</v>
      </c>
      <c r="B23" s="16">
        <f>$B$20*$B$13</f>
        <v>300</v>
      </c>
      <c r="C23" s="17" t="s">
        <v>146</v>
      </c>
      <c r="D23" s="8"/>
      <c r="E23" s="8"/>
      <c r="F23" s="8"/>
      <c r="G23" s="8"/>
    </row>
    <row r="24" spans="1:7" x14ac:dyDescent="0.4">
      <c r="A24" s="8" t="s">
        <v>147</v>
      </c>
      <c r="B24" s="16">
        <f>$B$21*$B$14</f>
        <v>1800</v>
      </c>
      <c r="C24" s="17" t="s">
        <v>148</v>
      </c>
      <c r="D24" s="8"/>
      <c r="E24" s="8"/>
      <c r="F24" s="8"/>
      <c r="G24" s="8"/>
    </row>
    <row r="25" spans="1:7" x14ac:dyDescent="0.4">
      <c r="A25" s="31" t="s">
        <v>149</v>
      </c>
      <c r="B25" s="16">
        <f>$B$20+$B$21+$B$23+$B$24</f>
        <v>5300</v>
      </c>
      <c r="C25" s="8"/>
      <c r="D25" s="8"/>
      <c r="E25" s="8"/>
      <c r="F25" s="8"/>
      <c r="G25" s="8"/>
    </row>
    <row r="26" spans="1:7" x14ac:dyDescent="0.4">
      <c r="A26" s="8" t="s">
        <v>150</v>
      </c>
      <c r="B26" s="16">
        <f>$B$25*$B$16</f>
        <v>1080</v>
      </c>
      <c r="C26" s="17" t="s">
        <v>151</v>
      </c>
      <c r="D26" s="8"/>
      <c r="E26" s="8"/>
      <c r="F26" s="8"/>
      <c r="G26" s="8"/>
    </row>
    <row r="27" spans="1:7" x14ac:dyDescent="0.4">
      <c r="A27" s="32" t="s">
        <v>152</v>
      </c>
      <c r="B27" s="21">
        <f>$B$25+$B$26</f>
        <v>6380</v>
      </c>
      <c r="C27" s="8"/>
      <c r="D27" s="8"/>
      <c r="E27" s="8"/>
      <c r="F27" s="8"/>
      <c r="G27" s="8"/>
    </row>
    <row r="28" spans="1:7" x14ac:dyDescent="0.4">
      <c r="A28" s="8" t="s">
        <v>153</v>
      </c>
      <c r="B28" s="16">
        <f>$B$27*$B$22</f>
        <v>957</v>
      </c>
      <c r="C28" s="17" t="s">
        <v>154</v>
      </c>
      <c r="D28" s="8"/>
      <c r="E28" s="8"/>
      <c r="F28" s="8"/>
      <c r="G28" s="8"/>
    </row>
    <row r="29" spans="1:7" x14ac:dyDescent="0.4">
      <c r="A29" s="32" t="s">
        <v>155</v>
      </c>
      <c r="B29" s="21">
        <f>$B$27+$B$28</f>
        <v>7337</v>
      </c>
      <c r="C29" s="8"/>
      <c r="D29" s="8"/>
      <c r="E29" s="8"/>
      <c r="F29" s="8"/>
      <c r="G29" s="8"/>
    </row>
    <row r="31" spans="1:7" x14ac:dyDescent="0.4">
      <c r="A31" s="11" t="s">
        <v>156</v>
      </c>
      <c r="B31" s="12"/>
      <c r="C31" s="12"/>
      <c r="D31" s="12"/>
      <c r="E31" s="12"/>
      <c r="F31" s="12"/>
      <c r="G31" s="12"/>
    </row>
    <row r="32" spans="1:7" x14ac:dyDescent="0.4">
      <c r="A32" s="13" t="s">
        <v>139</v>
      </c>
      <c r="B32" s="13" t="s">
        <v>140</v>
      </c>
      <c r="C32" s="13" t="s">
        <v>141</v>
      </c>
    </row>
    <row r="33" spans="1:7" x14ac:dyDescent="0.4">
      <c r="A33" s="8" t="s">
        <v>157</v>
      </c>
      <c r="B33" s="15">
        <v>0.5</v>
      </c>
      <c r="C33" s="8"/>
      <c r="D33" s="8"/>
      <c r="E33" s="8"/>
      <c r="F33" s="8"/>
      <c r="G33" s="8"/>
    </row>
    <row r="34" spans="1:7" x14ac:dyDescent="0.4">
      <c r="A34" s="8" t="s">
        <v>158</v>
      </c>
      <c r="B34" s="15">
        <v>0.4</v>
      </c>
      <c r="C34" s="8"/>
      <c r="D34" s="8"/>
      <c r="E34" s="8"/>
      <c r="F34" s="8"/>
      <c r="G34" s="8"/>
    </row>
    <row r="35" spans="1:7" x14ac:dyDescent="0.4">
      <c r="A35" s="8" t="s">
        <v>159</v>
      </c>
      <c r="B35" s="15">
        <v>0.25</v>
      </c>
      <c r="C35" s="8"/>
      <c r="D35" s="8"/>
      <c r="E35" s="8"/>
      <c r="F35" s="8"/>
      <c r="G35" s="8"/>
    </row>
    <row r="36" spans="1:7" x14ac:dyDescent="0.4">
      <c r="A36" s="8" t="s">
        <v>142</v>
      </c>
      <c r="B36" s="16">
        <f>$B$20</f>
        <v>2000</v>
      </c>
      <c r="C36" s="8"/>
      <c r="D36" s="8"/>
      <c r="E36" s="8"/>
      <c r="F36" s="8"/>
      <c r="G36" s="8"/>
    </row>
    <row r="37" spans="1:7" x14ac:dyDescent="0.4">
      <c r="A37" s="8" t="s">
        <v>143</v>
      </c>
      <c r="B37" s="16">
        <f>$B$21</f>
        <v>1200</v>
      </c>
      <c r="C37" s="8"/>
      <c r="D37" s="8"/>
      <c r="E37" s="8"/>
      <c r="F37" s="8"/>
      <c r="G37" s="8"/>
    </row>
    <row r="38" spans="1:7" x14ac:dyDescent="0.4">
      <c r="A38" s="8" t="s">
        <v>160</v>
      </c>
      <c r="B38" s="16">
        <f>$B$23*$B$33</f>
        <v>150</v>
      </c>
      <c r="C38" s="8"/>
      <c r="D38" s="8"/>
      <c r="E38" s="8"/>
      <c r="F38" s="8"/>
      <c r="G38" s="8"/>
    </row>
    <row r="39" spans="1:7" x14ac:dyDescent="0.4">
      <c r="A39" s="8" t="s">
        <v>161</v>
      </c>
      <c r="B39" s="16">
        <f>$B$24*$B$34</f>
        <v>720</v>
      </c>
      <c r="C39" s="8"/>
      <c r="D39" s="8"/>
      <c r="E39" s="8"/>
      <c r="F39" s="8"/>
      <c r="G39" s="8"/>
    </row>
    <row r="40" spans="1:7" x14ac:dyDescent="0.4">
      <c r="A40" s="31" t="s">
        <v>162</v>
      </c>
      <c r="B40" s="16">
        <f>$B$20+$B$21+$B$38+$B$39</f>
        <v>4070</v>
      </c>
      <c r="C40" s="8"/>
      <c r="D40" s="8"/>
      <c r="E40" s="8"/>
      <c r="F40" s="8"/>
      <c r="G40" s="8"/>
    </row>
    <row r="41" spans="1:7" x14ac:dyDescent="0.4">
      <c r="A41" s="8" t="s">
        <v>163</v>
      </c>
      <c r="B41" s="16">
        <f>$B$26*$B$35</f>
        <v>270</v>
      </c>
      <c r="C41" s="8"/>
      <c r="D41" s="8"/>
      <c r="E41" s="8"/>
      <c r="F41" s="8"/>
      <c r="G41" s="8"/>
    </row>
    <row r="42" spans="1:7" x14ac:dyDescent="0.4">
      <c r="A42" s="32" t="s">
        <v>164</v>
      </c>
      <c r="B42" s="21">
        <f>$B$40+$B$41</f>
        <v>4340</v>
      </c>
      <c r="C42" s="17" t="s">
        <v>165</v>
      </c>
      <c r="D42" s="8"/>
      <c r="E42" s="8"/>
      <c r="F42" s="8"/>
      <c r="G42" s="8"/>
    </row>
    <row r="43" spans="1:7" x14ac:dyDescent="0.4">
      <c r="A43" s="8" t="s">
        <v>166</v>
      </c>
      <c r="B43" s="16">
        <f>$B$29-$B$42</f>
        <v>2997</v>
      </c>
      <c r="C43" s="17" t="s">
        <v>167</v>
      </c>
      <c r="D43" s="8"/>
      <c r="E43" s="8"/>
      <c r="F43" s="8"/>
      <c r="G43" s="8"/>
    </row>
    <row r="44" spans="1:7" x14ac:dyDescent="0.4">
      <c r="A44" s="32" t="s">
        <v>155</v>
      </c>
      <c r="B44" s="21">
        <f>$B$42+$B$43</f>
        <v>7337</v>
      </c>
      <c r="C44" s="8"/>
      <c r="D44" s="8"/>
      <c r="E44" s="8"/>
      <c r="F44" s="8"/>
      <c r="G44" s="8"/>
    </row>
    <row r="45" spans="1:7" x14ac:dyDescent="0.4">
      <c r="A45" s="8" t="s">
        <v>46</v>
      </c>
      <c r="B45" s="18">
        <f>$B$43/$B$29</f>
        <v>0.40847757939212215</v>
      </c>
      <c r="C45" s="17" t="s">
        <v>47</v>
      </c>
      <c r="D45" s="8"/>
      <c r="E45" s="8"/>
      <c r="F45" s="8"/>
      <c r="G45" s="8"/>
    </row>
    <row r="47" spans="1:7" x14ac:dyDescent="0.4">
      <c r="A47" s="11" t="s">
        <v>168</v>
      </c>
      <c r="B47" s="12"/>
      <c r="C47" s="12"/>
      <c r="D47" s="12"/>
      <c r="E47" s="12"/>
      <c r="F47" s="12"/>
      <c r="G47" s="12"/>
    </row>
    <row r="48" spans="1:7" x14ac:dyDescent="0.4">
      <c r="A48" s="13" t="s">
        <v>139</v>
      </c>
      <c r="B48" s="13" t="s">
        <v>140</v>
      </c>
      <c r="C48" s="13" t="s">
        <v>141</v>
      </c>
    </row>
    <row r="49" spans="1:7" x14ac:dyDescent="0.4">
      <c r="A49" s="8" t="s">
        <v>169</v>
      </c>
      <c r="B49" s="14">
        <v>4000</v>
      </c>
      <c r="C49" s="8"/>
      <c r="D49" s="8"/>
      <c r="E49" s="8"/>
      <c r="F49" s="8"/>
      <c r="G49" s="8"/>
    </row>
    <row r="50" spans="1:7" x14ac:dyDescent="0.4">
      <c r="A50" s="8" t="s">
        <v>170</v>
      </c>
      <c r="B50" s="22">
        <v>6</v>
      </c>
      <c r="C50" s="8"/>
      <c r="D50" s="8"/>
      <c r="E50" s="8"/>
      <c r="F50" s="8"/>
      <c r="G50" s="8"/>
    </row>
    <row r="51" spans="1:7" x14ac:dyDescent="0.4">
      <c r="A51" s="8" t="s">
        <v>171</v>
      </c>
      <c r="B51" s="14">
        <v>650</v>
      </c>
      <c r="C51" s="8"/>
      <c r="D51" s="8"/>
      <c r="E51" s="8"/>
      <c r="F51" s="8"/>
      <c r="G51" s="8"/>
    </row>
    <row r="52" spans="1:7" x14ac:dyDescent="0.4">
      <c r="A52" s="8" t="s">
        <v>172</v>
      </c>
      <c r="B52" s="14">
        <v>800</v>
      </c>
      <c r="C52" s="8"/>
      <c r="D52" s="8"/>
      <c r="E52" s="8"/>
      <c r="F52" s="8"/>
      <c r="G52" s="8"/>
    </row>
    <row r="53" spans="1:7" x14ac:dyDescent="0.4">
      <c r="A53" s="19" t="s">
        <v>173</v>
      </c>
      <c r="B53" s="21">
        <f>$B$49+$B$50*$B$51+$B$52</f>
        <v>8700</v>
      </c>
      <c r="C53" s="17" t="s">
        <v>174</v>
      </c>
      <c r="D53" s="8"/>
      <c r="E53" s="8"/>
      <c r="F53" s="8"/>
      <c r="G53" s="8"/>
    </row>
  </sheetData>
  <mergeCells count="1">
    <mergeCell ref="A4:G4"/>
  </mergeCells>
  <hyperlinks>
    <hyperlink ref="A2" location="'Oversikt'!A1" display="‹ Til oversikten"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5"/>
  <sheetViews>
    <sheetView showGridLines="0" workbookViewId="0"/>
  </sheetViews>
  <sheetFormatPr defaultRowHeight="14.6" x14ac:dyDescent="0.4"/>
  <cols>
    <col min="1" max="1" width="46" customWidth="1"/>
    <col min="2" max="7" width="16" customWidth="1"/>
  </cols>
  <sheetData>
    <row r="1" spans="1:7" ht="30" customHeight="1" x14ac:dyDescent="0.55000000000000004">
      <c r="A1" s="9" t="s">
        <v>175</v>
      </c>
    </row>
    <row r="2" spans="1:7" x14ac:dyDescent="0.4">
      <c r="A2" s="10" t="s">
        <v>26</v>
      </c>
    </row>
    <row r="4" spans="1:7" ht="87" customHeight="1" x14ac:dyDescent="0.4">
      <c r="A4" s="37" t="s">
        <v>176</v>
      </c>
      <c r="B4" s="38"/>
      <c r="C4" s="38"/>
      <c r="D4" s="38"/>
      <c r="E4" s="38"/>
      <c r="F4" s="38"/>
      <c r="G4" s="38"/>
    </row>
    <row r="6" spans="1:7" x14ac:dyDescent="0.4">
      <c r="A6" s="11" t="s">
        <v>177</v>
      </c>
      <c r="B6" s="12"/>
      <c r="C6" s="12"/>
      <c r="D6" s="12"/>
      <c r="E6" s="12"/>
      <c r="F6" s="12"/>
      <c r="G6" s="12"/>
    </row>
    <row r="7" spans="1:7" x14ac:dyDescent="0.4">
      <c r="A7" s="13" t="s">
        <v>29</v>
      </c>
      <c r="B7" s="13" t="s">
        <v>30</v>
      </c>
      <c r="C7" s="13" t="s">
        <v>178</v>
      </c>
    </row>
    <row r="8" spans="1:7" x14ac:dyDescent="0.4">
      <c r="A8" s="8" t="s">
        <v>179</v>
      </c>
      <c r="B8" s="14">
        <v>500</v>
      </c>
      <c r="C8" s="8"/>
      <c r="D8" s="8"/>
      <c r="E8" s="8"/>
      <c r="F8" s="8"/>
      <c r="G8" s="8"/>
    </row>
    <row r="9" spans="1:7" x14ac:dyDescent="0.4">
      <c r="A9" s="8" t="s">
        <v>180</v>
      </c>
      <c r="B9" s="14">
        <v>300</v>
      </c>
      <c r="C9" s="8"/>
      <c r="D9" s="8"/>
      <c r="E9" s="8"/>
      <c r="F9" s="8"/>
      <c r="G9" s="8"/>
    </row>
    <row r="10" spans="1:7" x14ac:dyDescent="0.4">
      <c r="A10" s="8" t="s">
        <v>181</v>
      </c>
      <c r="B10" s="14">
        <v>400000</v>
      </c>
      <c r="C10" s="8"/>
      <c r="D10" s="8"/>
      <c r="E10" s="8"/>
      <c r="F10" s="8"/>
      <c r="G10" s="8"/>
    </row>
    <row r="11" spans="1:7" x14ac:dyDescent="0.4">
      <c r="A11" s="8" t="s">
        <v>182</v>
      </c>
      <c r="B11" s="22">
        <v>2500</v>
      </c>
      <c r="C11" s="8"/>
      <c r="D11" s="8"/>
      <c r="E11" s="8"/>
      <c r="F11" s="8"/>
      <c r="G11" s="8"/>
    </row>
    <row r="12" spans="1:7" x14ac:dyDescent="0.4">
      <c r="A12" s="8" t="s">
        <v>183</v>
      </c>
      <c r="B12" s="14">
        <v>150000</v>
      </c>
      <c r="C12" s="8"/>
      <c r="D12" s="8"/>
      <c r="E12" s="8"/>
      <c r="F12" s="8"/>
      <c r="G12" s="8"/>
    </row>
    <row r="13" spans="1:7" x14ac:dyDescent="0.4">
      <c r="A13" s="8" t="s">
        <v>44</v>
      </c>
      <c r="B13" s="16">
        <f>$B$8-$B$9</f>
        <v>200</v>
      </c>
      <c r="C13" s="17" t="s">
        <v>45</v>
      </c>
      <c r="D13" s="8"/>
      <c r="E13" s="8"/>
      <c r="F13" s="8"/>
      <c r="G13" s="8"/>
    </row>
    <row r="14" spans="1:7" x14ac:dyDescent="0.4">
      <c r="A14" s="8" t="s">
        <v>184</v>
      </c>
      <c r="B14" s="18">
        <f>$B$13/$B$8</f>
        <v>0.4</v>
      </c>
      <c r="C14" s="17" t="s">
        <v>47</v>
      </c>
      <c r="D14" s="8"/>
      <c r="E14" s="8"/>
      <c r="F14" s="8"/>
      <c r="G14" s="8"/>
    </row>
    <row r="15" spans="1:7" x14ac:dyDescent="0.4">
      <c r="A15" s="19" t="s">
        <v>185</v>
      </c>
      <c r="B15" s="28">
        <f>$B$10/$B$13</f>
        <v>2000</v>
      </c>
      <c r="C15" s="17" t="s">
        <v>186</v>
      </c>
      <c r="D15" s="8"/>
      <c r="E15" s="8"/>
      <c r="F15" s="8"/>
      <c r="G15" s="8"/>
    </row>
    <row r="16" spans="1:7" x14ac:dyDescent="0.4">
      <c r="A16" s="19" t="s">
        <v>187</v>
      </c>
      <c r="B16" s="21">
        <f>$B$10/$B$14</f>
        <v>1000000</v>
      </c>
      <c r="C16" s="17" t="s">
        <v>188</v>
      </c>
      <c r="D16" s="8"/>
      <c r="E16" s="8"/>
      <c r="F16" s="8"/>
      <c r="G16" s="8"/>
    </row>
    <row r="17" spans="1:7" x14ac:dyDescent="0.4">
      <c r="A17" s="8" t="s">
        <v>189</v>
      </c>
      <c r="B17" s="16">
        <f>$B$8*$B$11</f>
        <v>1250000</v>
      </c>
      <c r="C17" s="17" t="s">
        <v>190</v>
      </c>
      <c r="D17" s="8"/>
      <c r="E17" s="8"/>
      <c r="F17" s="8"/>
      <c r="G17" s="8"/>
    </row>
    <row r="18" spans="1:7" x14ac:dyDescent="0.4">
      <c r="A18" s="8" t="s">
        <v>191</v>
      </c>
      <c r="B18" s="16">
        <f>$B$17-$B$16</f>
        <v>250000</v>
      </c>
      <c r="C18" s="17" t="s">
        <v>192</v>
      </c>
      <c r="D18" s="8"/>
      <c r="E18" s="8"/>
      <c r="F18" s="8"/>
      <c r="G18" s="8"/>
    </row>
    <row r="19" spans="1:7" x14ac:dyDescent="0.4">
      <c r="A19" s="8" t="s">
        <v>193</v>
      </c>
      <c r="B19" s="33">
        <f>$B$11-$B$15</f>
        <v>500</v>
      </c>
      <c r="C19" s="17" t="s">
        <v>194</v>
      </c>
      <c r="D19" s="8"/>
      <c r="E19" s="8"/>
      <c r="F19" s="8"/>
      <c r="G19" s="8"/>
    </row>
    <row r="20" spans="1:7" x14ac:dyDescent="0.4">
      <c r="A20" s="19" t="s">
        <v>195</v>
      </c>
      <c r="B20" s="30">
        <f>$B$18/$B$17</f>
        <v>0.2</v>
      </c>
      <c r="C20" s="17" t="s">
        <v>196</v>
      </c>
      <c r="D20" s="8"/>
      <c r="E20" s="8"/>
      <c r="F20" s="8"/>
      <c r="G20" s="8"/>
    </row>
    <row r="21" spans="1:7" x14ac:dyDescent="0.4">
      <c r="A21" s="19" t="s">
        <v>197</v>
      </c>
      <c r="B21" s="21">
        <f>($B$10+$B$12)/$B$14</f>
        <v>1375000</v>
      </c>
      <c r="C21" s="17" t="s">
        <v>198</v>
      </c>
      <c r="D21" s="8"/>
      <c r="E21" s="8"/>
      <c r="F21" s="8"/>
      <c r="G21" s="8"/>
    </row>
    <row r="22" spans="1:7" x14ac:dyDescent="0.4">
      <c r="A22" s="19" t="s">
        <v>199</v>
      </c>
      <c r="B22" s="28">
        <f>($B$10+$B$12)/$B$13</f>
        <v>2750</v>
      </c>
      <c r="C22" s="17" t="s">
        <v>200</v>
      </c>
      <c r="D22" s="8"/>
      <c r="E22" s="8"/>
      <c r="F22" s="8"/>
      <c r="G22" s="8"/>
    </row>
    <row r="23" spans="1:7" x14ac:dyDescent="0.4">
      <c r="A23" s="8" t="s">
        <v>201</v>
      </c>
      <c r="B23" s="16">
        <f>$B$16/(1-$B$20)</f>
        <v>1250000</v>
      </c>
      <c r="C23" s="17" t="s">
        <v>202</v>
      </c>
      <c r="D23" s="8"/>
      <c r="E23" s="8"/>
      <c r="F23" s="8"/>
      <c r="G23" s="8"/>
    </row>
    <row r="24" spans="1:7" x14ac:dyDescent="0.4">
      <c r="A24" s="8" t="s">
        <v>203</v>
      </c>
      <c r="B24" s="16">
        <f>$B$13*$B$11-$B$10</f>
        <v>100000</v>
      </c>
      <c r="C24" s="17" t="s">
        <v>204</v>
      </c>
      <c r="D24" s="8"/>
      <c r="E24" s="8"/>
      <c r="F24" s="8"/>
      <c r="G24" s="8"/>
    </row>
    <row r="26" spans="1:7" x14ac:dyDescent="0.4">
      <c r="A26" s="11" t="s">
        <v>205</v>
      </c>
      <c r="B26" s="12"/>
      <c r="C26" s="12"/>
      <c r="D26" s="12"/>
      <c r="E26" s="12"/>
      <c r="F26" s="12"/>
      <c r="G26" s="12"/>
    </row>
    <row r="27" spans="1:7" x14ac:dyDescent="0.4">
      <c r="A27" s="13" t="s">
        <v>29</v>
      </c>
      <c r="B27" s="13" t="s">
        <v>30</v>
      </c>
      <c r="C27" s="13" t="s">
        <v>178</v>
      </c>
    </row>
    <row r="28" spans="1:7" x14ac:dyDescent="0.4">
      <c r="A28" s="8" t="s">
        <v>206</v>
      </c>
      <c r="B28" s="15">
        <v>0.4</v>
      </c>
      <c r="C28" s="8"/>
      <c r="D28" s="8"/>
      <c r="E28" s="8"/>
      <c r="F28" s="8"/>
      <c r="G28" s="8"/>
    </row>
    <row r="29" spans="1:7" x14ac:dyDescent="0.4">
      <c r="A29" s="8" t="s">
        <v>207</v>
      </c>
      <c r="B29" s="15">
        <v>0.6</v>
      </c>
      <c r="C29" s="8"/>
      <c r="D29" s="8"/>
      <c r="E29" s="8"/>
      <c r="F29" s="8"/>
      <c r="G29" s="8"/>
    </row>
    <row r="30" spans="1:7" x14ac:dyDescent="0.4">
      <c r="A30" s="8" t="s">
        <v>208</v>
      </c>
      <c r="B30" s="15">
        <v>0.25</v>
      </c>
      <c r="C30" s="8"/>
      <c r="D30" s="8"/>
      <c r="E30" s="8"/>
      <c r="F30" s="8"/>
      <c r="G30" s="8"/>
    </row>
    <row r="31" spans="1:7" x14ac:dyDescent="0.4">
      <c r="A31" s="8" t="s">
        <v>209</v>
      </c>
      <c r="B31" s="18">
        <f>1-$B$29</f>
        <v>0.4</v>
      </c>
      <c r="C31" s="17" t="s">
        <v>210</v>
      </c>
      <c r="D31" s="8"/>
      <c r="E31" s="8"/>
      <c r="F31" s="8"/>
      <c r="G31" s="8"/>
    </row>
    <row r="32" spans="1:7" x14ac:dyDescent="0.4">
      <c r="A32" s="19" t="s">
        <v>211</v>
      </c>
      <c r="B32" s="30">
        <f>$B$28*$B$29+$B$30*$B$31</f>
        <v>0.33999999999999997</v>
      </c>
      <c r="C32" s="17" t="s">
        <v>212</v>
      </c>
      <c r="D32" s="8"/>
      <c r="E32" s="8"/>
      <c r="F32" s="8"/>
      <c r="G32" s="8"/>
    </row>
    <row r="33" spans="1:7" x14ac:dyDescent="0.4">
      <c r="A33" s="19" t="s">
        <v>187</v>
      </c>
      <c r="B33" s="21">
        <f>$B$10/$B$32</f>
        <v>1176470.5882352942</v>
      </c>
      <c r="C33" s="17" t="s">
        <v>213</v>
      </c>
      <c r="D33" s="8"/>
      <c r="E33" s="8"/>
      <c r="F33" s="8"/>
      <c r="G33" s="8"/>
    </row>
    <row r="35" spans="1:7" x14ac:dyDescent="0.4">
      <c r="A35" s="11" t="s">
        <v>214</v>
      </c>
      <c r="B35" s="12"/>
      <c r="C35" s="12"/>
      <c r="D35" s="12"/>
      <c r="E35" s="12"/>
      <c r="F35" s="12"/>
      <c r="G35" s="12"/>
    </row>
    <row r="36" spans="1:7" x14ac:dyDescent="0.4">
      <c r="A36" s="13" t="s">
        <v>84</v>
      </c>
      <c r="B36" s="13" t="s">
        <v>215</v>
      </c>
      <c r="C36" s="13" t="s">
        <v>216</v>
      </c>
      <c r="D36" s="13" t="s">
        <v>217</v>
      </c>
    </row>
    <row r="37" spans="1:7" x14ac:dyDescent="0.4">
      <c r="A37" s="26">
        <v>0</v>
      </c>
      <c r="B37" s="16">
        <f t="shared" ref="B37:B45" si="0">A37*$B$8</f>
        <v>0</v>
      </c>
      <c r="C37" s="16">
        <f t="shared" ref="C37:C45" si="1">$B$10+A37*$B$9</f>
        <v>400000</v>
      </c>
      <c r="D37" s="16">
        <f t="shared" ref="D37:D45" si="2">$B$10</f>
        <v>400000</v>
      </c>
    </row>
    <row r="38" spans="1:7" x14ac:dyDescent="0.4">
      <c r="A38" s="26">
        <v>500</v>
      </c>
      <c r="B38" s="16">
        <f t="shared" si="0"/>
        <v>250000</v>
      </c>
      <c r="C38" s="16">
        <f t="shared" si="1"/>
        <v>550000</v>
      </c>
      <c r="D38" s="16">
        <f t="shared" si="2"/>
        <v>400000</v>
      </c>
    </row>
    <row r="39" spans="1:7" x14ac:dyDescent="0.4">
      <c r="A39" s="26">
        <v>1000</v>
      </c>
      <c r="B39" s="16">
        <f t="shared" si="0"/>
        <v>500000</v>
      </c>
      <c r="C39" s="16">
        <f t="shared" si="1"/>
        <v>700000</v>
      </c>
      <c r="D39" s="16">
        <f t="shared" si="2"/>
        <v>400000</v>
      </c>
    </row>
    <row r="40" spans="1:7" x14ac:dyDescent="0.4">
      <c r="A40" s="26">
        <v>1500</v>
      </c>
      <c r="B40" s="16">
        <f t="shared" si="0"/>
        <v>750000</v>
      </c>
      <c r="C40" s="16">
        <f t="shared" si="1"/>
        <v>850000</v>
      </c>
      <c r="D40" s="16">
        <f t="shared" si="2"/>
        <v>400000</v>
      </c>
    </row>
    <row r="41" spans="1:7" x14ac:dyDescent="0.4">
      <c r="A41" s="26">
        <v>2000</v>
      </c>
      <c r="B41" s="16">
        <f t="shared" si="0"/>
        <v>1000000</v>
      </c>
      <c r="C41" s="16">
        <f t="shared" si="1"/>
        <v>1000000</v>
      </c>
      <c r="D41" s="16">
        <f t="shared" si="2"/>
        <v>400000</v>
      </c>
    </row>
    <row r="42" spans="1:7" x14ac:dyDescent="0.4">
      <c r="A42" s="26">
        <v>2500</v>
      </c>
      <c r="B42" s="16">
        <f t="shared" si="0"/>
        <v>1250000</v>
      </c>
      <c r="C42" s="16">
        <f t="shared" si="1"/>
        <v>1150000</v>
      </c>
      <c r="D42" s="16">
        <f t="shared" si="2"/>
        <v>400000</v>
      </c>
    </row>
    <row r="43" spans="1:7" x14ac:dyDescent="0.4">
      <c r="A43" s="26">
        <v>3000</v>
      </c>
      <c r="B43" s="16">
        <f t="shared" si="0"/>
        <v>1500000</v>
      </c>
      <c r="C43" s="16">
        <f t="shared" si="1"/>
        <v>1300000</v>
      </c>
      <c r="D43" s="16">
        <f t="shared" si="2"/>
        <v>400000</v>
      </c>
    </row>
    <row r="44" spans="1:7" x14ac:dyDescent="0.4">
      <c r="A44" s="26">
        <v>3500</v>
      </c>
      <c r="B44" s="16">
        <f t="shared" si="0"/>
        <v>1750000</v>
      </c>
      <c r="C44" s="16">
        <f t="shared" si="1"/>
        <v>1450000</v>
      </c>
      <c r="D44" s="16">
        <f t="shared" si="2"/>
        <v>400000</v>
      </c>
    </row>
    <row r="45" spans="1:7" x14ac:dyDescent="0.4">
      <c r="A45" s="26">
        <v>4000</v>
      </c>
      <c r="B45" s="16">
        <f t="shared" si="0"/>
        <v>2000000</v>
      </c>
      <c r="C45" s="16">
        <f t="shared" si="1"/>
        <v>1600000</v>
      </c>
      <c r="D45" s="16">
        <f t="shared" si="2"/>
        <v>400000</v>
      </c>
    </row>
  </sheetData>
  <mergeCells count="1">
    <mergeCell ref="A4:G4"/>
  </mergeCells>
  <hyperlinks>
    <hyperlink ref="A2" location="'Oversikt'!A1" display="‹ Til oversikten" xr:uid="{00000000-0004-0000-0400-000000000000}"/>
  </hyperlink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
  <sheetViews>
    <sheetView showGridLines="0" workbookViewId="0"/>
  </sheetViews>
  <sheetFormatPr defaultRowHeight="14.6" x14ac:dyDescent="0.4"/>
  <cols>
    <col min="1" max="1" width="46" customWidth="1"/>
    <col min="2" max="7" width="16" customWidth="1"/>
  </cols>
  <sheetData>
    <row r="1" spans="1:7" ht="30" customHeight="1" x14ac:dyDescent="0.55000000000000004">
      <c r="A1" s="9" t="s">
        <v>218</v>
      </c>
    </row>
    <row r="2" spans="1:7" x14ac:dyDescent="0.4">
      <c r="A2" s="10" t="s">
        <v>26</v>
      </c>
    </row>
    <row r="4" spans="1:7" ht="46.5" customHeight="1" x14ac:dyDescent="0.4">
      <c r="A4" s="37" t="s">
        <v>219</v>
      </c>
      <c r="B4" s="38"/>
      <c r="C4" s="38"/>
      <c r="D4" s="38"/>
      <c r="E4" s="38"/>
      <c r="F4" s="38"/>
      <c r="G4" s="38"/>
    </row>
    <row r="6" spans="1:7" x14ac:dyDescent="0.4">
      <c r="A6" s="11" t="s">
        <v>77</v>
      </c>
      <c r="B6" s="12"/>
      <c r="C6" s="12"/>
      <c r="D6" s="12"/>
      <c r="E6" s="12"/>
      <c r="F6" s="12"/>
      <c r="G6" s="12"/>
    </row>
    <row r="7" spans="1:7" x14ac:dyDescent="0.4">
      <c r="A7" s="13" t="s">
        <v>29</v>
      </c>
      <c r="B7" s="13" t="s">
        <v>30</v>
      </c>
      <c r="C7" s="13" t="s">
        <v>78</v>
      </c>
    </row>
    <row r="8" spans="1:7" x14ac:dyDescent="0.4">
      <c r="A8" s="8" t="s">
        <v>220</v>
      </c>
      <c r="B8" s="22">
        <v>10000</v>
      </c>
      <c r="C8" s="8"/>
      <c r="D8" s="8"/>
      <c r="E8" s="8"/>
      <c r="F8" s="8"/>
      <c r="G8" s="8"/>
    </row>
    <row r="10" spans="1:7" x14ac:dyDescent="0.4">
      <c r="A10" s="11" t="s">
        <v>221</v>
      </c>
      <c r="B10" s="12"/>
      <c r="C10" s="12"/>
      <c r="D10" s="12"/>
      <c r="E10" s="12"/>
      <c r="F10" s="12"/>
      <c r="G10" s="12"/>
    </row>
    <row r="11" spans="1:7" x14ac:dyDescent="0.4">
      <c r="A11" s="13"/>
      <c r="B11" s="13" t="s">
        <v>222</v>
      </c>
      <c r="C11" s="13" t="s">
        <v>223</v>
      </c>
      <c r="D11" s="13" t="s">
        <v>224</v>
      </c>
      <c r="E11" s="13" t="s">
        <v>225</v>
      </c>
    </row>
    <row r="12" spans="1:7" x14ac:dyDescent="0.4">
      <c r="A12" s="8" t="s">
        <v>179</v>
      </c>
      <c r="B12" s="14">
        <v>900</v>
      </c>
      <c r="C12" s="14">
        <v>700</v>
      </c>
      <c r="D12" s="14">
        <v>1200</v>
      </c>
      <c r="E12" s="8"/>
    </row>
    <row r="13" spans="1:7" x14ac:dyDescent="0.4">
      <c r="A13" s="8" t="s">
        <v>180</v>
      </c>
      <c r="B13" s="14">
        <v>500</v>
      </c>
      <c r="C13" s="14">
        <v>450</v>
      </c>
      <c r="D13" s="14">
        <v>600</v>
      </c>
      <c r="E13" s="8"/>
    </row>
    <row r="14" spans="1:7" x14ac:dyDescent="0.4">
      <c r="A14" s="8" t="s">
        <v>226</v>
      </c>
      <c r="B14" s="22">
        <v>4</v>
      </c>
      <c r="C14" s="22">
        <v>2</v>
      </c>
      <c r="D14" s="22">
        <v>5</v>
      </c>
      <c r="E14" s="8"/>
    </row>
    <row r="15" spans="1:7" x14ac:dyDescent="0.4">
      <c r="A15" s="8" t="s">
        <v>227</v>
      </c>
      <c r="B15" s="22">
        <v>1500</v>
      </c>
      <c r="C15" s="22">
        <v>2000</v>
      </c>
      <c r="D15" s="22">
        <v>1000</v>
      </c>
      <c r="E15" s="8"/>
    </row>
    <row r="16" spans="1:7" x14ac:dyDescent="0.4">
      <c r="A16" s="8" t="s">
        <v>228</v>
      </c>
      <c r="B16" s="16">
        <f>B12-B13</f>
        <v>400</v>
      </c>
      <c r="C16" s="16">
        <f>C12-C13</f>
        <v>250</v>
      </c>
      <c r="D16" s="16">
        <f>D12-D13</f>
        <v>600</v>
      </c>
      <c r="E16" s="17" t="s">
        <v>229</v>
      </c>
    </row>
    <row r="17" spans="1:7" x14ac:dyDescent="0.4">
      <c r="A17" s="19" t="s">
        <v>230</v>
      </c>
      <c r="B17" s="21">
        <f>B16/B14</f>
        <v>100</v>
      </c>
      <c r="C17" s="21">
        <f>C16/C14</f>
        <v>125</v>
      </c>
      <c r="D17" s="21">
        <f>D16/D14</f>
        <v>120</v>
      </c>
      <c r="E17" s="17" t="s">
        <v>231</v>
      </c>
    </row>
    <row r="18" spans="1:7" x14ac:dyDescent="0.4">
      <c r="A18" s="8" t="s">
        <v>232</v>
      </c>
      <c r="B18" s="33">
        <f>1+COUNTIF($B$17:$D$17,"&gt;"&amp;B17)</f>
        <v>3</v>
      </c>
      <c r="C18" s="33">
        <f>1+COUNTIF($B$17:$D$17,"&gt;"&amp;C17)</f>
        <v>1</v>
      </c>
      <c r="D18" s="33">
        <f>1+COUNTIF($B$17:$D$17,"&gt;"&amp;D17)</f>
        <v>2</v>
      </c>
      <c r="E18" s="17" t="s">
        <v>233</v>
      </c>
    </row>
    <row r="19" spans="1:7" x14ac:dyDescent="0.4">
      <c r="A19" s="8" t="s">
        <v>234</v>
      </c>
      <c r="B19" s="33">
        <f>$B$8/B14</f>
        <v>2500</v>
      </c>
      <c r="C19" s="33">
        <f>$B$8/C14</f>
        <v>5000</v>
      </c>
      <c r="D19" s="33">
        <f>$B$8/D14</f>
        <v>2000</v>
      </c>
      <c r="E19" s="17" t="s">
        <v>235</v>
      </c>
    </row>
    <row r="20" spans="1:7" x14ac:dyDescent="0.4">
      <c r="A20" s="8" t="s">
        <v>236</v>
      </c>
      <c r="B20" s="33">
        <f>B15*B14</f>
        <v>6000</v>
      </c>
      <c r="C20" s="33">
        <f>C15*C14</f>
        <v>4000</v>
      </c>
      <c r="D20" s="33">
        <f>D15*D14</f>
        <v>5000</v>
      </c>
      <c r="E20" s="17"/>
    </row>
    <row r="21" spans="1:7" x14ac:dyDescent="0.4">
      <c r="A21" s="8" t="s">
        <v>237</v>
      </c>
      <c r="B21" s="33">
        <f>SUMIF($B$18:$D$18,"&lt;"&amp;B18,$B$20:$D$20)</f>
        <v>9000</v>
      </c>
      <c r="C21" s="33">
        <f>SUMIF($B$18:$D$18,"&lt;"&amp;C18,$B$20:$D$20)</f>
        <v>0</v>
      </c>
      <c r="D21" s="33">
        <f>SUMIF($B$18:$D$18,"&lt;"&amp;D18,$B$20:$D$20)</f>
        <v>4000</v>
      </c>
      <c r="E21" s="17"/>
    </row>
    <row r="22" spans="1:7" x14ac:dyDescent="0.4">
      <c r="A22" s="8" t="s">
        <v>238</v>
      </c>
      <c r="B22" s="33">
        <f>MAX(0,$B$8-B21)</f>
        <v>1000</v>
      </c>
      <c r="C22" s="33">
        <f>MAX(0,$B$8-C21)</f>
        <v>10000</v>
      </c>
      <c r="D22" s="33">
        <f>MAX(0,$B$8-D21)</f>
        <v>6000</v>
      </c>
      <c r="E22" s="17"/>
    </row>
    <row r="23" spans="1:7" x14ac:dyDescent="0.4">
      <c r="A23" s="19" t="s">
        <v>239</v>
      </c>
      <c r="B23" s="28">
        <f>MIN(B15,INT(B22/B14))</f>
        <v>250</v>
      </c>
      <c r="C23" s="28">
        <f>MIN(C15,INT(C22/C14))</f>
        <v>2000</v>
      </c>
      <c r="D23" s="28">
        <f>MIN(D15,INT(D22/D14))</f>
        <v>1000</v>
      </c>
      <c r="E23" s="17" t="s">
        <v>240</v>
      </c>
    </row>
    <row r="24" spans="1:7" x14ac:dyDescent="0.4">
      <c r="A24" s="8" t="s">
        <v>241</v>
      </c>
      <c r="B24" s="33">
        <f>B23*B14</f>
        <v>1000</v>
      </c>
      <c r="C24" s="33">
        <f>C23*C14</f>
        <v>4000</v>
      </c>
      <c r="D24" s="33">
        <f>D23*D14</f>
        <v>5000</v>
      </c>
      <c r="E24" s="17"/>
    </row>
    <row r="25" spans="1:7" x14ac:dyDescent="0.4">
      <c r="A25" s="19" t="s">
        <v>242</v>
      </c>
      <c r="B25" s="21">
        <f>B23*B16</f>
        <v>100000</v>
      </c>
      <c r="C25" s="21">
        <f>C23*C16</f>
        <v>500000</v>
      </c>
      <c r="D25" s="21">
        <f>D23*D16</f>
        <v>600000</v>
      </c>
      <c r="E25" s="17"/>
    </row>
    <row r="27" spans="1:7" x14ac:dyDescent="0.4">
      <c r="A27" s="11" t="s">
        <v>6</v>
      </c>
      <c r="B27" s="12"/>
      <c r="C27" s="12"/>
      <c r="D27" s="12"/>
      <c r="E27" s="12"/>
      <c r="F27" s="12"/>
      <c r="G27" s="12"/>
    </row>
    <row r="28" spans="1:7" x14ac:dyDescent="0.4">
      <c r="A28" s="13" t="s">
        <v>29</v>
      </c>
      <c r="B28" s="13" t="s">
        <v>30</v>
      </c>
      <c r="C28" s="13" t="s">
        <v>78</v>
      </c>
    </row>
    <row r="29" spans="1:7" x14ac:dyDescent="0.4">
      <c r="A29" s="19" t="s">
        <v>243</v>
      </c>
      <c r="B29" s="21">
        <f>SUM(B25:D25)</f>
        <v>1200000</v>
      </c>
      <c r="C29" s="8"/>
      <c r="D29" s="8"/>
      <c r="E29" s="8"/>
      <c r="F29" s="8"/>
      <c r="G29" s="8"/>
    </row>
    <row r="30" spans="1:7" x14ac:dyDescent="0.4">
      <c r="A30" s="8" t="s">
        <v>244</v>
      </c>
      <c r="B30" s="33">
        <f>SUM(B24:D24)</f>
        <v>10000</v>
      </c>
      <c r="C30" s="17" t="s">
        <v>245</v>
      </c>
      <c r="D30" s="8"/>
      <c r="E30" s="8"/>
      <c r="F30" s="8"/>
      <c r="G30" s="8"/>
    </row>
  </sheetData>
  <mergeCells count="1">
    <mergeCell ref="A4:G4"/>
  </mergeCells>
  <hyperlinks>
    <hyperlink ref="A2" location="'Oversikt'!A1" display="‹ Til oversikten"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8"/>
  <sheetViews>
    <sheetView showGridLines="0" workbookViewId="0"/>
  </sheetViews>
  <sheetFormatPr defaultRowHeight="14.6" x14ac:dyDescent="0.4"/>
  <cols>
    <col min="1" max="1" width="46" customWidth="1"/>
    <col min="2" max="2" width="16" customWidth="1"/>
    <col min="3" max="3" width="13" customWidth="1"/>
    <col min="4" max="7" width="16" customWidth="1"/>
  </cols>
  <sheetData>
    <row r="1" spans="1:7" ht="30" customHeight="1" x14ac:dyDescent="0.55000000000000004">
      <c r="A1" s="9" t="s">
        <v>246</v>
      </c>
    </row>
    <row r="2" spans="1:7" x14ac:dyDescent="0.4">
      <c r="A2" s="10" t="s">
        <v>26</v>
      </c>
    </row>
    <row r="4" spans="1:7" ht="87" customHeight="1" x14ac:dyDescent="0.4">
      <c r="A4" s="37" t="s">
        <v>247</v>
      </c>
      <c r="B4" s="38"/>
      <c r="C4" s="38"/>
      <c r="D4" s="38"/>
      <c r="E4" s="38"/>
      <c r="F4" s="38"/>
      <c r="G4" s="38"/>
    </row>
    <row r="6" spans="1:7" x14ac:dyDescent="0.4">
      <c r="A6" s="11" t="s">
        <v>248</v>
      </c>
      <c r="B6" s="12"/>
      <c r="C6" s="12"/>
      <c r="D6" s="12"/>
      <c r="E6" s="12"/>
      <c r="F6" s="12"/>
      <c r="G6" s="12"/>
    </row>
    <row r="7" spans="1:7" x14ac:dyDescent="0.4">
      <c r="A7" s="13" t="s">
        <v>29</v>
      </c>
      <c r="B7" s="13" t="s">
        <v>30</v>
      </c>
      <c r="C7" s="13" t="s">
        <v>249</v>
      </c>
      <c r="D7" s="13" t="s">
        <v>250</v>
      </c>
    </row>
    <row r="8" spans="1:7" x14ac:dyDescent="0.4">
      <c r="A8" s="8" t="s">
        <v>251</v>
      </c>
      <c r="B8" s="22">
        <v>1000</v>
      </c>
      <c r="C8" s="8"/>
      <c r="D8" s="8"/>
      <c r="E8" s="8"/>
      <c r="F8" s="8"/>
      <c r="G8" s="8"/>
    </row>
    <row r="9" spans="1:7" x14ac:dyDescent="0.4">
      <c r="A9" s="8" t="s">
        <v>252</v>
      </c>
      <c r="B9" s="14">
        <v>800</v>
      </c>
      <c r="C9" s="8"/>
      <c r="D9" s="8"/>
      <c r="E9" s="8"/>
      <c r="F9" s="8"/>
      <c r="G9" s="8"/>
    </row>
    <row r="10" spans="1:7" x14ac:dyDescent="0.4">
      <c r="A10" s="8" t="s">
        <v>253</v>
      </c>
      <c r="B10" s="14">
        <v>300</v>
      </c>
      <c r="C10" s="8"/>
      <c r="D10" s="8"/>
      <c r="E10" s="8"/>
      <c r="F10" s="8"/>
      <c r="G10" s="8"/>
    </row>
    <row r="11" spans="1:7" x14ac:dyDescent="0.4">
      <c r="A11" s="8" t="s">
        <v>254</v>
      </c>
      <c r="B11" s="22">
        <v>1100</v>
      </c>
      <c r="C11" s="8"/>
      <c r="D11" s="8"/>
      <c r="E11" s="8"/>
      <c r="F11" s="8"/>
      <c r="G11" s="8"/>
    </row>
    <row r="12" spans="1:7" x14ac:dyDescent="0.4">
      <c r="A12" s="8" t="s">
        <v>255</v>
      </c>
      <c r="B12" s="14">
        <v>780</v>
      </c>
      <c r="C12" s="8"/>
      <c r="D12" s="8"/>
      <c r="E12" s="8"/>
      <c r="F12" s="8"/>
      <c r="G12" s="8"/>
    </row>
    <row r="13" spans="1:7" x14ac:dyDescent="0.4">
      <c r="A13" s="19" t="s">
        <v>256</v>
      </c>
      <c r="B13" s="21">
        <f>$B$12*$B$11-$B$9*$B$8</f>
        <v>58000</v>
      </c>
      <c r="C13" s="34" t="str">
        <f>IF(B13&gt;0,"Gunstig",IF(B13&lt;0,"Ugunstig","–"))</f>
        <v>Gunstig</v>
      </c>
      <c r="D13" s="17" t="s">
        <v>257</v>
      </c>
      <c r="E13" s="8"/>
      <c r="F13" s="8"/>
      <c r="G13" s="8"/>
    </row>
    <row r="14" spans="1:7" x14ac:dyDescent="0.4">
      <c r="A14" s="8" t="s">
        <v>258</v>
      </c>
      <c r="B14" s="16">
        <f>($B$11-$B$8)*$B$9</f>
        <v>80000</v>
      </c>
      <c r="C14" s="34" t="str">
        <f>IF(B14&gt;0,"Gunstig",IF(B14&lt;0,"Ugunstig","–"))</f>
        <v>Gunstig</v>
      </c>
      <c r="D14" s="17" t="s">
        <v>259</v>
      </c>
      <c r="E14" s="8"/>
      <c r="F14" s="8"/>
      <c r="G14" s="8"/>
    </row>
    <row r="15" spans="1:7" x14ac:dyDescent="0.4">
      <c r="A15" s="8" t="s">
        <v>260</v>
      </c>
      <c r="B15" s="16">
        <f>($B$12-$B$9)*$B$11</f>
        <v>-22000</v>
      </c>
      <c r="C15" s="34" t="str">
        <f>IF(B15&gt;0,"Gunstig",IF(B15&lt;0,"Ugunstig","–"))</f>
        <v>Ugunstig</v>
      </c>
      <c r="D15" s="17" t="s">
        <v>261</v>
      </c>
      <c r="E15" s="8"/>
      <c r="F15" s="8"/>
      <c r="G15" s="8"/>
    </row>
    <row r="16" spans="1:7" x14ac:dyDescent="0.4">
      <c r="A16" s="8" t="s">
        <v>262</v>
      </c>
      <c r="B16" s="16">
        <f>$B$14+$B$15</f>
        <v>58000</v>
      </c>
      <c r="C16" s="17" t="s">
        <v>263</v>
      </c>
      <c r="D16" s="8"/>
      <c r="E16" s="8"/>
      <c r="F16" s="8"/>
      <c r="G16" s="8"/>
    </row>
    <row r="17" spans="1:7" x14ac:dyDescent="0.4">
      <c r="A17" s="19" t="s">
        <v>264</v>
      </c>
      <c r="B17" s="21">
        <f>($B$11-$B$8)*$B$10+$B$15</f>
        <v>8000</v>
      </c>
      <c r="C17" s="34" t="str">
        <f>IF(B17&gt;0,"Gunstig",IF(B17&lt;0,"Ugunstig","–"))</f>
        <v>Gunstig</v>
      </c>
      <c r="D17" s="17" t="s">
        <v>265</v>
      </c>
      <c r="E17" s="8"/>
      <c r="F17" s="8"/>
      <c r="G17" s="8"/>
    </row>
    <row r="19" spans="1:7" x14ac:dyDescent="0.4">
      <c r="A19" s="11" t="s">
        <v>266</v>
      </c>
      <c r="B19" s="12"/>
      <c r="C19" s="12"/>
      <c r="D19" s="12"/>
      <c r="E19" s="12"/>
      <c r="F19" s="12"/>
      <c r="G19" s="12"/>
    </row>
    <row r="20" spans="1:7" x14ac:dyDescent="0.4">
      <c r="A20" s="13" t="s">
        <v>29</v>
      </c>
      <c r="B20" s="13" t="s">
        <v>30</v>
      </c>
      <c r="C20" s="13" t="s">
        <v>267</v>
      </c>
    </row>
    <row r="21" spans="1:7" x14ac:dyDescent="0.4">
      <c r="A21" s="8" t="s">
        <v>268</v>
      </c>
      <c r="B21" s="22">
        <v>1000</v>
      </c>
      <c r="C21" s="8"/>
      <c r="D21" s="8"/>
      <c r="E21" s="8"/>
      <c r="F21" s="8"/>
      <c r="G21" s="8"/>
    </row>
    <row r="22" spans="1:7" x14ac:dyDescent="0.4">
      <c r="A22" s="8" t="s">
        <v>269</v>
      </c>
      <c r="B22" s="22">
        <v>4</v>
      </c>
      <c r="C22" s="8"/>
      <c r="D22" s="8"/>
      <c r="E22" s="8"/>
      <c r="F22" s="8"/>
      <c r="G22" s="8"/>
    </row>
    <row r="23" spans="1:7" x14ac:dyDescent="0.4">
      <c r="A23" s="8" t="s">
        <v>270</v>
      </c>
      <c r="B23" s="14">
        <v>25</v>
      </c>
      <c r="C23" s="8"/>
      <c r="D23" s="8"/>
      <c r="E23" s="8"/>
      <c r="F23" s="8"/>
      <c r="G23" s="8"/>
    </row>
    <row r="24" spans="1:7" x14ac:dyDescent="0.4">
      <c r="A24" s="8" t="s">
        <v>271</v>
      </c>
      <c r="B24" s="22">
        <v>4300</v>
      </c>
      <c r="C24" s="8"/>
      <c r="D24" s="8"/>
      <c r="E24" s="8"/>
      <c r="F24" s="8"/>
      <c r="G24" s="8"/>
    </row>
    <row r="25" spans="1:7" x14ac:dyDescent="0.4">
      <c r="A25" s="8" t="s">
        <v>272</v>
      </c>
      <c r="B25" s="14">
        <v>24</v>
      </c>
      <c r="C25" s="8"/>
      <c r="D25" s="8"/>
      <c r="E25" s="8"/>
      <c r="F25" s="8"/>
      <c r="G25" s="8"/>
    </row>
    <row r="26" spans="1:7" x14ac:dyDescent="0.4">
      <c r="A26" s="8" t="s">
        <v>273</v>
      </c>
      <c r="B26" s="22">
        <v>2</v>
      </c>
      <c r="C26" s="8"/>
      <c r="D26" s="8"/>
      <c r="E26" s="8"/>
      <c r="F26" s="8"/>
      <c r="G26" s="8"/>
    </row>
    <row r="27" spans="1:7" x14ac:dyDescent="0.4">
      <c r="A27" s="8" t="s">
        <v>274</v>
      </c>
      <c r="B27" s="14">
        <v>300</v>
      </c>
      <c r="C27" s="8"/>
      <c r="D27" s="8"/>
      <c r="E27" s="8"/>
      <c r="F27" s="8"/>
      <c r="G27" s="8"/>
    </row>
    <row r="28" spans="1:7" x14ac:dyDescent="0.4">
      <c r="A28" s="8" t="s">
        <v>275</v>
      </c>
      <c r="B28" s="22">
        <v>2100</v>
      </c>
      <c r="C28" s="8"/>
      <c r="D28" s="8"/>
      <c r="E28" s="8"/>
      <c r="F28" s="8"/>
      <c r="G28" s="8"/>
    </row>
    <row r="29" spans="1:7" x14ac:dyDescent="0.4">
      <c r="A29" s="8" t="s">
        <v>276</v>
      </c>
      <c r="B29" s="14">
        <v>310</v>
      </c>
      <c r="C29" s="8"/>
      <c r="D29" s="8"/>
      <c r="E29" s="8"/>
      <c r="F29" s="8"/>
      <c r="G29" s="8"/>
    </row>
    <row r="30" spans="1:7" x14ac:dyDescent="0.4">
      <c r="A30" s="8" t="s">
        <v>277</v>
      </c>
      <c r="B30" s="14">
        <v>80</v>
      </c>
      <c r="C30" s="8"/>
      <c r="D30" s="8"/>
      <c r="E30" s="8"/>
      <c r="F30" s="8"/>
      <c r="G30" s="8"/>
    </row>
    <row r="31" spans="1:7" x14ac:dyDescent="0.4">
      <c r="A31" s="8" t="s">
        <v>278</v>
      </c>
      <c r="B31" s="14">
        <v>175000</v>
      </c>
      <c r="C31" s="8"/>
      <c r="D31" s="8"/>
      <c r="E31" s="8"/>
      <c r="F31" s="8"/>
      <c r="G31" s="8"/>
    </row>
    <row r="32" spans="1:7" x14ac:dyDescent="0.4">
      <c r="A32" s="8" t="s">
        <v>279</v>
      </c>
      <c r="B32" s="14">
        <v>240000</v>
      </c>
      <c r="C32" s="8"/>
      <c r="D32" s="8"/>
      <c r="E32" s="8"/>
      <c r="F32" s="8"/>
      <c r="G32" s="8"/>
    </row>
    <row r="33" spans="1:7" x14ac:dyDescent="0.4">
      <c r="A33" s="8" t="s">
        <v>280</v>
      </c>
      <c r="B33" s="22">
        <v>2400</v>
      </c>
      <c r="C33" s="8"/>
      <c r="D33" s="8"/>
      <c r="E33" s="8"/>
      <c r="F33" s="8"/>
      <c r="G33" s="8"/>
    </row>
    <row r="34" spans="1:7" x14ac:dyDescent="0.4">
      <c r="A34" s="8" t="s">
        <v>281</v>
      </c>
      <c r="B34" s="14">
        <v>250000</v>
      </c>
      <c r="C34" s="8"/>
      <c r="D34" s="8"/>
      <c r="E34" s="8"/>
      <c r="F34" s="8"/>
      <c r="G34" s="8"/>
    </row>
    <row r="35" spans="1:7" x14ac:dyDescent="0.4">
      <c r="A35" s="8" t="s">
        <v>282</v>
      </c>
      <c r="B35" s="33">
        <f>$B$22*$B$21</f>
        <v>4000</v>
      </c>
      <c r="C35" s="17" t="s">
        <v>283</v>
      </c>
      <c r="D35" s="8"/>
      <c r="E35" s="8"/>
      <c r="F35" s="8"/>
      <c r="G35" s="8"/>
    </row>
    <row r="36" spans="1:7" x14ac:dyDescent="0.4">
      <c r="A36" s="8" t="s">
        <v>284</v>
      </c>
      <c r="B36" s="33">
        <f>$B$26*$B$21</f>
        <v>2000</v>
      </c>
      <c r="C36" s="17" t="s">
        <v>285</v>
      </c>
      <c r="D36" s="8"/>
      <c r="E36" s="8"/>
      <c r="F36" s="8"/>
      <c r="G36" s="8"/>
    </row>
    <row r="37" spans="1:7" x14ac:dyDescent="0.4">
      <c r="A37" s="8" t="s">
        <v>286</v>
      </c>
      <c r="B37" s="16">
        <f>$B$32/$B$33</f>
        <v>100</v>
      </c>
      <c r="C37" s="17" t="s">
        <v>287</v>
      </c>
      <c r="D37" s="8"/>
      <c r="E37" s="8"/>
      <c r="F37" s="8"/>
      <c r="G37" s="8"/>
    </row>
    <row r="38" spans="1:7" x14ac:dyDescent="0.4">
      <c r="A38" s="8" t="s">
        <v>288</v>
      </c>
      <c r="B38" s="16">
        <f>$B$22*$B$23+$B$26*$B$27+$B$26*($B$30+$B$37)</f>
        <v>1060</v>
      </c>
      <c r="C38" s="17" t="s">
        <v>289</v>
      </c>
      <c r="D38" s="8"/>
      <c r="E38" s="8"/>
      <c r="F38" s="8"/>
      <c r="G38" s="8"/>
    </row>
    <row r="40" spans="1:7" x14ac:dyDescent="0.4">
      <c r="A40" s="11" t="s">
        <v>290</v>
      </c>
      <c r="B40" s="12"/>
      <c r="C40" s="12"/>
      <c r="D40" s="12"/>
      <c r="E40" s="12"/>
      <c r="F40" s="12"/>
      <c r="G40" s="12"/>
    </row>
    <row r="41" spans="1:7" x14ac:dyDescent="0.4">
      <c r="A41" s="13" t="s">
        <v>29</v>
      </c>
      <c r="B41" s="13" t="s">
        <v>30</v>
      </c>
      <c r="C41" s="13" t="s">
        <v>249</v>
      </c>
      <c r="D41" s="13" t="s">
        <v>291</v>
      </c>
    </row>
    <row r="42" spans="1:7" x14ac:dyDescent="0.4">
      <c r="A42" s="35" t="s">
        <v>292</v>
      </c>
    </row>
    <row r="43" spans="1:7" x14ac:dyDescent="0.4">
      <c r="A43" s="8" t="s">
        <v>293</v>
      </c>
      <c r="B43" s="16">
        <f>($B$23-$B$25)*$B$24</f>
        <v>4300</v>
      </c>
      <c r="C43" s="34" t="str">
        <f>IF(B43&gt;0,"Gunstig",IF(B43&lt;0,"Ugunstig","–"))</f>
        <v>Gunstig</v>
      </c>
      <c r="D43" s="17" t="s">
        <v>294</v>
      </c>
      <c r="E43" s="8"/>
      <c r="F43" s="8"/>
      <c r="G43" s="8"/>
    </row>
    <row r="44" spans="1:7" x14ac:dyDescent="0.4">
      <c r="A44" s="8" t="s">
        <v>295</v>
      </c>
      <c r="B44" s="16">
        <f>($B$35-$B$24)*$B$23</f>
        <v>-7500</v>
      </c>
      <c r="C44" s="34" t="str">
        <f>IF(B44&gt;0,"Gunstig",IF(B44&lt;0,"Ugunstig","–"))</f>
        <v>Ugunstig</v>
      </c>
      <c r="D44" s="17" t="s">
        <v>296</v>
      </c>
      <c r="E44" s="8"/>
      <c r="F44" s="8"/>
      <c r="G44" s="8"/>
    </row>
    <row r="45" spans="1:7" x14ac:dyDescent="0.4">
      <c r="A45" s="19" t="s">
        <v>297</v>
      </c>
      <c r="B45" s="21">
        <f>$B$43+$B$44</f>
        <v>-3200</v>
      </c>
      <c r="C45" s="34" t="str">
        <f>IF(B45&gt;0,"Gunstig",IF(B45&lt;0,"Ugunstig","–"))</f>
        <v>Ugunstig</v>
      </c>
      <c r="D45" s="17" t="s">
        <v>298</v>
      </c>
      <c r="E45" s="8"/>
      <c r="F45" s="8"/>
      <c r="G45" s="8"/>
    </row>
    <row r="46" spans="1:7" x14ac:dyDescent="0.4">
      <c r="A46" s="8" t="s">
        <v>299</v>
      </c>
      <c r="B46" s="16">
        <f>$B$35*$B$23-$B$24*$B$25</f>
        <v>-3200</v>
      </c>
      <c r="C46" s="17" t="s">
        <v>300</v>
      </c>
      <c r="D46" s="8"/>
      <c r="E46" s="8"/>
      <c r="F46" s="8"/>
      <c r="G46" s="8"/>
    </row>
    <row r="47" spans="1:7" x14ac:dyDescent="0.4">
      <c r="A47" s="35" t="s">
        <v>301</v>
      </c>
    </row>
    <row r="48" spans="1:7" x14ac:dyDescent="0.4">
      <c r="A48" s="8" t="s">
        <v>302</v>
      </c>
      <c r="B48" s="16">
        <f>($B$27-$B$29)*$B$28</f>
        <v>-21000</v>
      </c>
      <c r="C48" s="34" t="str">
        <f>IF(B48&gt;0,"Gunstig",IF(B48&lt;0,"Ugunstig","–"))</f>
        <v>Ugunstig</v>
      </c>
      <c r="D48" s="17" t="s">
        <v>303</v>
      </c>
      <c r="E48" s="8"/>
      <c r="F48" s="8"/>
      <c r="G48" s="8"/>
    </row>
    <row r="49" spans="1:7" x14ac:dyDescent="0.4">
      <c r="A49" s="8" t="s">
        <v>304</v>
      </c>
      <c r="B49" s="16">
        <f>($B$36-$B$28)*$B$27</f>
        <v>-30000</v>
      </c>
      <c r="C49" s="34" t="str">
        <f>IF(B49&gt;0,"Gunstig",IF(B49&lt;0,"Ugunstig","–"))</f>
        <v>Ugunstig</v>
      </c>
      <c r="D49" s="17" t="s">
        <v>305</v>
      </c>
      <c r="E49" s="8"/>
      <c r="F49" s="8"/>
      <c r="G49" s="8"/>
    </row>
    <row r="50" spans="1:7" x14ac:dyDescent="0.4">
      <c r="A50" s="19" t="s">
        <v>306</v>
      </c>
      <c r="B50" s="21">
        <f>$B$36*$B$27-$B$28*$B$29</f>
        <v>-51000</v>
      </c>
      <c r="C50" s="34" t="str">
        <f>IF(B50&gt;0,"Gunstig",IF(B50&lt;0,"Ugunstig","–"))</f>
        <v>Ugunstig</v>
      </c>
      <c r="D50" s="17" t="s">
        <v>307</v>
      </c>
      <c r="E50" s="8"/>
      <c r="F50" s="8"/>
      <c r="G50" s="8"/>
    </row>
    <row r="51" spans="1:7" x14ac:dyDescent="0.4">
      <c r="A51" s="35" t="s">
        <v>308</v>
      </c>
    </row>
    <row r="52" spans="1:7" x14ac:dyDescent="0.4">
      <c r="A52" s="8" t="s">
        <v>309</v>
      </c>
      <c r="B52" s="16">
        <f>$B$28*$B$30-$B$31</f>
        <v>-7000</v>
      </c>
      <c r="C52" s="34" t="str">
        <f>IF(B52&gt;0,"Gunstig",IF(B52&lt;0,"Ugunstig","–"))</f>
        <v>Ugunstig</v>
      </c>
      <c r="D52" s="17" t="s">
        <v>310</v>
      </c>
      <c r="E52" s="8"/>
      <c r="F52" s="8"/>
      <c r="G52" s="8"/>
    </row>
    <row r="53" spans="1:7" x14ac:dyDescent="0.4">
      <c r="A53" s="8" t="s">
        <v>311</v>
      </c>
      <c r="B53" s="16">
        <f>$B$36*$B$30-$B$28*$B$30</f>
        <v>-8000</v>
      </c>
      <c r="C53" s="34" t="str">
        <f>IF(B53&gt;0,"Gunstig",IF(B53&lt;0,"Ugunstig","–"))</f>
        <v>Ugunstig</v>
      </c>
      <c r="D53" s="17" t="s">
        <v>312</v>
      </c>
      <c r="E53" s="8"/>
      <c r="F53" s="8"/>
      <c r="G53" s="8"/>
    </row>
    <row r="54" spans="1:7" x14ac:dyDescent="0.4">
      <c r="A54" s="19" t="s">
        <v>313</v>
      </c>
      <c r="B54" s="21">
        <f>$B$52+$B$53</f>
        <v>-15000</v>
      </c>
      <c r="C54" s="34" t="str">
        <f>IF(B54&gt;0,"Gunstig",IF(B54&lt;0,"Ugunstig","–"))</f>
        <v>Ugunstig</v>
      </c>
      <c r="D54" s="8"/>
      <c r="E54" s="8"/>
      <c r="F54" s="8"/>
      <c r="G54" s="8"/>
    </row>
    <row r="55" spans="1:7" x14ac:dyDescent="0.4">
      <c r="A55" s="35" t="s">
        <v>314</v>
      </c>
    </row>
    <row r="56" spans="1:7" x14ac:dyDescent="0.4">
      <c r="A56" s="8" t="s">
        <v>315</v>
      </c>
      <c r="B56" s="16">
        <f>$B$32-$B$34</f>
        <v>-10000</v>
      </c>
      <c r="C56" s="34" t="str">
        <f>IF(B56&gt;0,"Gunstig",IF(B56&lt;0,"Ugunstig","–"))</f>
        <v>Ugunstig</v>
      </c>
      <c r="D56" s="17" t="s">
        <v>316</v>
      </c>
      <c r="E56" s="8"/>
      <c r="F56" s="8"/>
      <c r="G56" s="8"/>
    </row>
    <row r="57" spans="1:7" x14ac:dyDescent="0.4">
      <c r="A57" s="8" t="s">
        <v>317</v>
      </c>
      <c r="B57" s="16">
        <f>$B$36*$B$37-$B$32</f>
        <v>-40000</v>
      </c>
      <c r="C57" s="34" t="str">
        <f>IF(B57&gt;0,"Gunstig",IF(B57&lt;0,"Ugunstig","–"))</f>
        <v>Ugunstig</v>
      </c>
      <c r="D57" s="17" t="s">
        <v>318</v>
      </c>
      <c r="E57" s="8"/>
      <c r="F57" s="8"/>
      <c r="G57" s="8"/>
    </row>
    <row r="58" spans="1:7" x14ac:dyDescent="0.4">
      <c r="A58" s="19" t="s">
        <v>319</v>
      </c>
      <c r="B58" s="21">
        <f>$B$56+$B$57</f>
        <v>-50000</v>
      </c>
      <c r="C58" s="34" t="str">
        <f>IF(B58&gt;0,"Gunstig",IF(B58&lt;0,"Ugunstig","–"))</f>
        <v>Ugunstig</v>
      </c>
      <c r="D58" s="8"/>
      <c r="E58" s="8"/>
      <c r="F58" s="8"/>
      <c r="G58" s="8"/>
    </row>
  </sheetData>
  <mergeCells count="1">
    <mergeCell ref="A4:G4"/>
  </mergeCells>
  <hyperlinks>
    <hyperlink ref="A2" location="'Oversikt'!A1" display="‹ Til oversikten"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5"/>
  <sheetViews>
    <sheetView showGridLines="0" workbookViewId="0"/>
  </sheetViews>
  <sheetFormatPr defaultRowHeight="14.6" x14ac:dyDescent="0.4"/>
  <cols>
    <col min="1" max="1" width="46" customWidth="1"/>
    <col min="2" max="7" width="16" customWidth="1"/>
  </cols>
  <sheetData>
    <row r="1" spans="1:7" ht="30" customHeight="1" x14ac:dyDescent="0.55000000000000004">
      <c r="A1" s="9" t="s">
        <v>320</v>
      </c>
    </row>
    <row r="2" spans="1:7" x14ac:dyDescent="0.4">
      <c r="A2" s="10" t="s">
        <v>26</v>
      </c>
    </row>
    <row r="4" spans="1:7" ht="60" customHeight="1" x14ac:dyDescent="0.4">
      <c r="A4" s="37" t="s">
        <v>321</v>
      </c>
      <c r="B4" s="38"/>
      <c r="C4" s="38"/>
      <c r="D4" s="38"/>
      <c r="E4" s="38"/>
      <c r="F4" s="38"/>
      <c r="G4" s="38"/>
    </row>
    <row r="6" spans="1:7" x14ac:dyDescent="0.4">
      <c r="A6" s="11" t="s">
        <v>322</v>
      </c>
      <c r="B6" s="12"/>
      <c r="C6" s="12"/>
      <c r="D6" s="12"/>
      <c r="E6" s="12"/>
      <c r="F6" s="12"/>
      <c r="G6" s="12"/>
    </row>
    <row r="7" spans="1:7" x14ac:dyDescent="0.4">
      <c r="A7" s="13"/>
      <c r="B7" s="13" t="s">
        <v>323</v>
      </c>
      <c r="C7" s="13" t="s">
        <v>324</v>
      </c>
      <c r="D7" s="13" t="s">
        <v>325</v>
      </c>
    </row>
    <row r="8" spans="1:7" x14ac:dyDescent="0.4">
      <c r="A8" s="8" t="s">
        <v>326</v>
      </c>
      <c r="B8" s="14">
        <v>300000</v>
      </c>
      <c r="C8" s="14">
        <v>200000</v>
      </c>
      <c r="D8" s="8"/>
    </row>
    <row r="9" spans="1:7" x14ac:dyDescent="0.4">
      <c r="A9" s="8" t="s">
        <v>327</v>
      </c>
      <c r="B9" s="22">
        <v>2000</v>
      </c>
      <c r="C9" s="22">
        <v>400</v>
      </c>
      <c r="D9" s="8"/>
    </row>
    <row r="10" spans="1:7" x14ac:dyDescent="0.4">
      <c r="A10" s="8" t="s">
        <v>328</v>
      </c>
      <c r="B10" s="22">
        <v>1800</v>
      </c>
      <c r="C10" s="22">
        <v>380</v>
      </c>
      <c r="D10" s="8"/>
    </row>
    <row r="11" spans="1:7" x14ac:dyDescent="0.4">
      <c r="A11" s="8" t="s">
        <v>329</v>
      </c>
      <c r="B11" s="22">
        <v>1850</v>
      </c>
      <c r="C11" s="22">
        <v>360</v>
      </c>
      <c r="D11" s="8"/>
    </row>
    <row r="12" spans="1:7" x14ac:dyDescent="0.4">
      <c r="A12" s="8" t="s">
        <v>330</v>
      </c>
      <c r="B12" s="22">
        <v>1900</v>
      </c>
      <c r="C12" s="22">
        <v>390</v>
      </c>
      <c r="D12" s="8"/>
    </row>
    <row r="13" spans="1:7" x14ac:dyDescent="0.4">
      <c r="A13" s="8" t="s">
        <v>331</v>
      </c>
      <c r="B13" s="14">
        <v>310000</v>
      </c>
      <c r="C13" s="14">
        <v>196000</v>
      </c>
      <c r="D13" s="8"/>
    </row>
    <row r="14" spans="1:7" x14ac:dyDescent="0.4">
      <c r="A14" s="19" t="s">
        <v>332</v>
      </c>
      <c r="B14" s="20">
        <f>B8/B9</f>
        <v>150</v>
      </c>
      <c r="C14" s="20">
        <f>C8/C9</f>
        <v>500</v>
      </c>
      <c r="D14" s="17" t="s">
        <v>333</v>
      </c>
    </row>
    <row r="15" spans="1:7" x14ac:dyDescent="0.4">
      <c r="A15" s="8" t="s">
        <v>334</v>
      </c>
      <c r="B15" s="16">
        <f>(B10-B9)*B14</f>
        <v>-30000</v>
      </c>
      <c r="C15" s="16">
        <f>(C10-C9)*C14</f>
        <v>-10000</v>
      </c>
      <c r="D15" s="17" t="s">
        <v>335</v>
      </c>
    </row>
    <row r="16" spans="1:7" x14ac:dyDescent="0.4">
      <c r="A16" s="8" t="s">
        <v>336</v>
      </c>
      <c r="B16" s="16">
        <f>(B11-B12)*B14</f>
        <v>-7500</v>
      </c>
      <c r="C16" s="16">
        <f>(C11-C12)*C14</f>
        <v>-15000</v>
      </c>
      <c r="D16" s="17" t="s">
        <v>337</v>
      </c>
    </row>
    <row r="17" spans="1:7" x14ac:dyDescent="0.4">
      <c r="A17" s="8" t="s">
        <v>338</v>
      </c>
      <c r="B17" s="16">
        <f>B8-B13</f>
        <v>-10000</v>
      </c>
      <c r="C17" s="16">
        <f>C8-C13</f>
        <v>4000</v>
      </c>
      <c r="D17" s="17" t="s">
        <v>339</v>
      </c>
    </row>
    <row r="18" spans="1:7" x14ac:dyDescent="0.4">
      <c r="A18" s="8" t="s">
        <v>340</v>
      </c>
      <c r="B18" s="16">
        <f>(B12-B9)*B14</f>
        <v>-15000</v>
      </c>
      <c r="C18" s="16">
        <f>(C12-C9)*C14</f>
        <v>-5000</v>
      </c>
      <c r="D18" s="17" t="s">
        <v>341</v>
      </c>
    </row>
    <row r="19" spans="1:7" x14ac:dyDescent="0.4">
      <c r="A19" s="2" t="s">
        <v>342</v>
      </c>
    </row>
    <row r="21" spans="1:7" x14ac:dyDescent="0.4">
      <c r="A21" s="11" t="s">
        <v>343</v>
      </c>
      <c r="B21" s="12"/>
      <c r="C21" s="12"/>
      <c r="D21" s="12"/>
      <c r="E21" s="12"/>
      <c r="F21" s="12"/>
      <c r="G21" s="12"/>
    </row>
    <row r="22" spans="1:7" x14ac:dyDescent="0.4">
      <c r="A22" s="13" t="s">
        <v>344</v>
      </c>
      <c r="B22" s="13" t="s">
        <v>345</v>
      </c>
      <c r="C22" s="13" t="s">
        <v>346</v>
      </c>
      <c r="D22" s="13" t="s">
        <v>347</v>
      </c>
      <c r="E22" s="13" t="s">
        <v>141</v>
      </c>
    </row>
    <row r="23" spans="1:7" x14ac:dyDescent="0.4">
      <c r="A23" s="34" t="s">
        <v>348</v>
      </c>
      <c r="B23" s="22">
        <v>1200</v>
      </c>
      <c r="C23" s="22">
        <v>150</v>
      </c>
      <c r="D23" s="21">
        <f>B23*$B$14+C23*$C$14</f>
        <v>255000</v>
      </c>
      <c r="E23" s="17" t="s">
        <v>349</v>
      </c>
    </row>
    <row r="24" spans="1:7" x14ac:dyDescent="0.4">
      <c r="A24" s="34" t="s">
        <v>350</v>
      </c>
      <c r="B24" s="22">
        <v>700</v>
      </c>
      <c r="C24" s="22">
        <v>240</v>
      </c>
      <c r="D24" s="21">
        <f>B24*$B$14+C24*$C$14</f>
        <v>225000</v>
      </c>
      <c r="E24" s="17" t="s">
        <v>349</v>
      </c>
    </row>
    <row r="25" spans="1:7" x14ac:dyDescent="0.4">
      <c r="A25" s="34" t="s">
        <v>351</v>
      </c>
      <c r="B25" s="26">
        <f>SUM(B23:B24)</f>
        <v>1900</v>
      </c>
      <c r="C25" s="26">
        <f>SUM(C23:C24)</f>
        <v>390</v>
      </c>
      <c r="D25" s="36">
        <f>SUM(D23:D24)</f>
        <v>480000</v>
      </c>
      <c r="E25" s="17" t="s">
        <v>352</v>
      </c>
    </row>
  </sheetData>
  <mergeCells count="1">
    <mergeCell ref="A4:G4"/>
  </mergeCells>
  <hyperlinks>
    <hyperlink ref="A2" location="'Oversikt'!A1" display="‹ Til oversikten" xr:uid="{00000000-0004-0000-07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Oversikt</vt:lpstr>
      <vt:lpstr>1 Kostnadsbegreper</vt:lpstr>
      <vt:lpstr>2 Kostnadsforløp</vt:lpstr>
      <vt:lpstr>3 Kalkulasjon</vt:lpstr>
      <vt:lpstr>4 KVR-analyse</vt:lpstr>
      <vt:lpstr>5 Produktvalg</vt:lpstr>
      <vt:lpstr>6 Avvik</vt:lpstr>
      <vt:lpstr>7 ABC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Bendik Oliver Grøsfjeld</cp:lastModifiedBy>
  <dcterms:created xsi:type="dcterms:W3CDTF">2026-10-05T11:11:47Z</dcterms:created>
  <dcterms:modified xsi:type="dcterms:W3CDTF">2026-10-05T11:11:55Z</dcterms:modified>
</cp:coreProperties>
</file>